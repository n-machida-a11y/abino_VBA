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
    </mc:Choice>
  </mc:AlternateContent>
  <xr:revisionPtr revIDLastSave="0" documentId="13_ncr:1_{E5BD9D45-C2C9-43AD-AFC9-D48DAD9AECE6}" xr6:coauthVersionLast="47" xr6:coauthVersionMax="47" xr10:uidLastSave="{00000000-0000-0000-0000-000000000000}"/>
  <bookViews>
    <workbookView xWindow="-108" yWindow="-108" windowWidth="23256" windowHeight="13896" tabRatio="570" xr2:uid="{00000000-000D-0000-FFFF-FFFF00000000}"/>
  </bookViews>
  <sheets>
    <sheet name="入力フォーム" sheetId="51" r:id="rId1"/>
    <sheet name="工事番号一覧" sheetId="63" r:id="rId2"/>
    <sheet name="請求書提出依頼書" sheetId="62" r:id="rId3"/>
    <sheet name="依頼履歴" sheetId="64" r:id="rId4"/>
  </sheets>
  <externalReferences>
    <externalReference r:id="rId5"/>
  </externalReferences>
  <definedNames>
    <definedName name="_xlnm._FilterDatabase" localSheetId="1" hidden="1">工事番号一覧!$A$2:$X$135</definedName>
    <definedName name="_xlnm.Print_Area" localSheetId="1">工事番号一覧!$A$1:$M$146</definedName>
    <definedName name="_xlnm.Print_Area" localSheetId="2">請求書提出依頼書!$A$1:$X$45</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63" l="1"/>
  <c r="K25" i="63"/>
  <c r="G9" i="62" l="1"/>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<sst xmlns="http://schemas.openxmlformats.org/spreadsheetml/2006/main" count="800" uniqueCount="412">
  <si>
    <t>提出要項</t>
    <rPh sb="0" eb="2">
      <t>テイシュツ</t>
    </rPh>
    <rPh sb="2" eb="4">
      <t>ヨウコウ</t>
    </rPh>
    <phoneticPr fontId="6"/>
  </si>
  <si>
    <t>請求書Ｎｏ．</t>
    <rPh sb="0" eb="3">
      <t>セイキュウショ</t>
    </rPh>
    <phoneticPr fontId="6"/>
  </si>
  <si>
    <t>請 求 書 提 出 依 頼 書</t>
    <rPh sb="0" eb="5">
      <t>セイキュウショ</t>
    </rPh>
    <rPh sb="6" eb="9">
      <t>テイシュツ</t>
    </rPh>
    <rPh sb="10" eb="15">
      <t>イライショ</t>
    </rPh>
    <phoneticPr fontId="6"/>
  </si>
  <si>
    <t>請求書提出先</t>
    <rPh sb="0" eb="3">
      <t>セイキュウショ</t>
    </rPh>
    <rPh sb="3" eb="5">
      <t>テイシュツ</t>
    </rPh>
    <rPh sb="5" eb="6">
      <t>サキ</t>
    </rPh>
    <phoneticPr fontId="6"/>
  </si>
  <si>
    <t>提出先住所</t>
    <rPh sb="0" eb="2">
      <t>テイシュツ</t>
    </rPh>
    <rPh sb="2" eb="3">
      <t>サキ</t>
    </rPh>
    <rPh sb="3" eb="5">
      <t>ジュウショ</t>
    </rPh>
    <phoneticPr fontId="6"/>
  </si>
  <si>
    <t>〒</t>
    <phoneticPr fontId="6"/>
  </si>
  <si>
    <t>請求金額</t>
    <rPh sb="0" eb="2">
      <t>セイキュウ</t>
    </rPh>
    <rPh sb="2" eb="4">
      <t>キンガク</t>
    </rPh>
    <phoneticPr fontId="6"/>
  </si>
  <si>
    <t>工事名称</t>
    <rPh sb="0" eb="2">
      <t>コウジ</t>
    </rPh>
    <rPh sb="2" eb="4">
      <t>メイショウ</t>
    </rPh>
    <phoneticPr fontId="6"/>
  </si>
  <si>
    <t>作業現場</t>
    <rPh sb="0" eb="2">
      <t>サギョウ</t>
    </rPh>
    <rPh sb="2" eb="4">
      <t>ゲンバ</t>
    </rPh>
    <phoneticPr fontId="6"/>
  </si>
  <si>
    <t>作業依頼者</t>
    <rPh sb="0" eb="2">
      <t>サギョウ</t>
    </rPh>
    <rPh sb="2" eb="5">
      <t>イライシャ</t>
    </rPh>
    <phoneticPr fontId="6"/>
  </si>
  <si>
    <t>上記の通り請求書の提出をお願いします。</t>
    <rPh sb="0" eb="2">
      <t>ジョウキ</t>
    </rPh>
    <rPh sb="3" eb="4">
      <t>トオ</t>
    </rPh>
    <rPh sb="5" eb="8">
      <t>セイキュウショ</t>
    </rPh>
    <rPh sb="9" eb="11">
      <t>テイシュツ</t>
    </rPh>
    <rPh sb="13" eb="14">
      <t>ネガ</t>
    </rPh>
    <phoneticPr fontId="6"/>
  </si>
  <si>
    <t>提出依頼者</t>
    <rPh sb="0" eb="2">
      <t>テイシュツ</t>
    </rPh>
    <rPh sb="2" eb="5">
      <t>イライシャ</t>
    </rPh>
    <phoneticPr fontId="6"/>
  </si>
  <si>
    <t>氏　名</t>
    <rPh sb="0" eb="3">
      <t>シメイ</t>
    </rPh>
    <phoneticPr fontId="6"/>
  </si>
  <si>
    <t>.―　</t>
    <phoneticPr fontId="6"/>
  </si>
  <si>
    <t>（</t>
    <phoneticPr fontId="29"/>
  </si>
  <si>
    <t>内消費税</t>
    <rPh sb="0" eb="1">
      <t>ウチ</t>
    </rPh>
    <rPh sb="1" eb="4">
      <t>ショウヒゼイ</t>
    </rPh>
    <phoneticPr fontId="29"/>
  </si>
  <si>
    <t>.―　　）</t>
    <phoneticPr fontId="6"/>
  </si>
  <si>
    <t>同封物</t>
    <rPh sb="0" eb="3">
      <t>ドウフウブツ</t>
    </rPh>
    <phoneticPr fontId="6"/>
  </si>
  <si>
    <t>仕　　　様</t>
    <rPh sb="0" eb="1">
      <t>シ</t>
    </rPh>
    <rPh sb="4" eb="5">
      <t>サマ</t>
    </rPh>
    <phoneticPr fontId="6"/>
  </si>
  <si>
    <t>名称</t>
    <rPh sb="0" eb="2">
      <t>メイショウ</t>
    </rPh>
    <phoneticPr fontId="6"/>
  </si>
  <si>
    <t>数量</t>
    <rPh sb="0" eb="2">
      <t>スウリョウ</t>
    </rPh>
    <phoneticPr fontId="6"/>
  </si>
  <si>
    <t>単位</t>
    <rPh sb="0" eb="2">
      <t>タンイ</t>
    </rPh>
    <phoneticPr fontId="6"/>
  </si>
  <si>
    <t>単価</t>
    <rPh sb="0" eb="2">
      <t>タンカ</t>
    </rPh>
    <phoneticPr fontId="6"/>
  </si>
  <si>
    <t>金額</t>
    <rPh sb="0" eb="2">
      <t>キンガク</t>
    </rPh>
    <phoneticPr fontId="6"/>
  </si>
  <si>
    <t>式</t>
    <rPh sb="0" eb="1">
      <t>シキ</t>
    </rPh>
    <phoneticPr fontId="6"/>
  </si>
  <si>
    <t>小　計</t>
    <rPh sb="0" eb="1">
      <t>ショウ</t>
    </rPh>
    <rPh sb="2" eb="3">
      <t>ケイ</t>
    </rPh>
    <phoneticPr fontId="6"/>
  </si>
  <si>
    <t>消費税</t>
    <rPh sb="0" eb="3">
      <t>ショウヒゼイ</t>
    </rPh>
    <phoneticPr fontId="6"/>
  </si>
  <si>
    <t>合　計</t>
    <rPh sb="0" eb="1">
      <t>ゴウ</t>
    </rPh>
    <rPh sb="2" eb="3">
      <t>ケイ</t>
    </rPh>
    <phoneticPr fontId="6"/>
  </si>
  <si>
    <t>← ← ←</t>
  </si>
  <si>
    <t>← ← ←</t>
    <phoneticPr fontId="6"/>
  </si>
  <si>
    <t>引継ぎコメント</t>
    <rPh sb="0" eb="2">
      <t>ヒキツ</t>
    </rPh>
    <phoneticPr fontId="29"/>
  </si>
  <si>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</si>
  <si>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</si>
  <si>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</si>
  <si>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</si>
  <si>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</si>
  <si>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</si>
  <si>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</si>
  <si>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</si>
  <si>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</si>
  <si>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</si>
  <si>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</si>
  <si>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</si>
  <si>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</si>
  <si>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</si>
  <si>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</si>
  <si>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9"/>
  </si>
  <si>
    <t>15:同封物</t>
    <phoneticPr fontId="29"/>
  </si>
  <si>
    <t>16:提出日付</t>
    <phoneticPr fontId="29"/>
  </si>
  <si>
    <t>17:引渡日
(※工事完了日)</t>
    <phoneticPr fontId="29"/>
  </si>
  <si>
    <t>18:請求書提出先</t>
    <phoneticPr fontId="29"/>
  </si>
  <si>
    <t>19:郵便番号</t>
    <phoneticPr fontId="29"/>
  </si>
  <si>
    <t>20:提出先住所</t>
    <phoneticPr fontId="29"/>
  </si>
  <si>
    <t>21:作業現場</t>
    <phoneticPr fontId="29"/>
  </si>
  <si>
    <t>22:作業依頼者</t>
    <phoneticPr fontId="29"/>
  </si>
  <si>
    <t>12:担当者引継ぎコメント</t>
    <rPh sb="3" eb="6">
      <t>タントウシャ</t>
    </rPh>
    <rPh sb="6" eb="8">
      <t>ヒキツ</t>
    </rPh>
    <phoneticPr fontId="29"/>
  </si>
  <si>
    <t>改訂2025.8</t>
    <phoneticPr fontId="6"/>
  </si>
  <si>
    <t>製造部 水野係長</t>
  </si>
  <si>
    <t>郵送普通</t>
  </si>
  <si>
    <t>無し</t>
  </si>
  <si>
    <t>髙見淳也</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</si>
  <si>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</si>
  <si>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</si>
  <si>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</si>
  <si>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</si>
  <si>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</si>
  <si>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</si>
  <si>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</si>
  <si>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</si>
  <si>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</si>
  <si>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</si>
  <si>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</si>
  <si>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</si>
  <si>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</si>
  <si>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</si>
  <si>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</si>
  <si>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</si>
  <si>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</si>
  <si>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</si>
  <si>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</si>
  <si>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</si>
  <si>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</si>
  <si>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</si>
  <si>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</si>
  <si>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</si>
  <si>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</si>
  <si>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㈱ガイヤ　代表取締役　岩本涼</t>
  </si>
  <si>
    <t>森工務店㈱</t>
  </si>
  <si>
    <t>03-2523-002</t>
  </si>
  <si>
    <t>金額変更あり</t>
  </si>
  <si>
    <t>03-2516-001</t>
  </si>
  <si>
    <t>(株)エーモン</t>
  </si>
  <si>
    <t>03-2512-002</t>
  </si>
  <si>
    <t>見積書</t>
  </si>
  <si>
    <t>姫路市大津区大津町1-31-109</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</si>
  <si>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</si>
  <si>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</si>
  <si>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</si>
  <si>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</si>
  <si>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</si>
  <si>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</si>
  <si>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</si>
  <si>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</si>
  <si>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</si>
  <si>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</si>
  <si>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</si>
  <si>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</si>
  <si>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</si>
  <si>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</si>
  <si>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</si>
  <si>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</si>
  <si>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</si>
  <si>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</si>
  <si>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</si>
  <si>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</si>
  <si>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</si>
  <si>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</si>
  <si>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㈱IHI　ＩＡ開発試験場法面整備工事R1（給水管切回し）</t>
  </si>
  <si>
    <t xml:space="preserve">_x000D_
</t>
  </si>
  <si>
    <t>03-2513-010</t>
  </si>
  <si>
    <t>医療法人　尚生会　加茂病院</t>
  </si>
  <si>
    <t>679-0205</t>
  </si>
  <si>
    <t>加東市北野713</t>
  </si>
  <si>
    <t>加茂病院本館</t>
  </si>
  <si>
    <t>Z:\全社共有\建築事業部\00_現場関連\管理者用\工事番号管理表.xlsm</t>
    <phoneticPr fontId="6"/>
  </si>
  <si>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</si>
  <si>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</si>
  <si>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</si>
  <si>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</si>
  <si>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</si>
  <si>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</si>
  <si>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</si>
  <si>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</si>
  <si>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</si>
  <si>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</si>
  <si>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</si>
  <si>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</si>
  <si>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</si>
  <si>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6"/>
  </si>
  <si>
    <t>03-2303-012</t>
    <phoneticPr fontId="6"/>
  </si>
  <si>
    <t>日鉄テックスエンジ㈱ 阪神建設センター　構内事務所統合計画(堺)</t>
    <rPh sb="30" eb="31">
      <t>サカイ</t>
    </rPh>
    <phoneticPr fontId="6"/>
  </si>
  <si>
    <t>日鉄ﾃｯｸｽｴﾝｼﾞ㈱</t>
    <rPh sb="0" eb="2">
      <t>ニッテツ</t>
    </rPh>
    <phoneticPr fontId="7"/>
  </si>
  <si>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</si>
  <si>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</si>
  <si>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</si>
  <si>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</si>
  <si>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</si>
  <si>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</si>
  <si>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</si>
  <si>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</si>
  <si>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</si>
  <si>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</si>
  <si>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播州調味料株式会社 排水処理設備 建設工事</t>
    <phoneticPr fontId="6"/>
  </si>
  <si>
    <t>株式会社イーシステム　代取締役　谷山　暁進</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</si>
  <si>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</si>
  <si>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</si>
  <si>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</si>
  <si>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</si>
  <si>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</si>
  <si>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大一倉庫㈱</t>
    <phoneticPr fontId="40"/>
  </si>
  <si>
    <t>03-2403-015</t>
    <phoneticPr fontId="6"/>
  </si>
  <si>
    <t>日鉄物流㈱ （仮称）王子原社宅　Ⅲ新築工事</t>
    <phoneticPr fontId="6"/>
  </si>
  <si>
    <t>NSハイパーツ/日鉄ﾃｯｸｽｴﾝｼﾞ㈱</t>
    <phoneticPr fontId="6"/>
  </si>
  <si>
    <t>03-2403-016</t>
    <phoneticPr fontId="6"/>
  </si>
  <si>
    <t>ムツミ商事㈱ 飾磨支店　新社屋新築工事</t>
    <phoneticPr fontId="40"/>
  </si>
  <si>
    <t>ムツミ商事㈱</t>
    <phoneticPr fontId="40"/>
  </si>
  <si>
    <t>03-2403-017</t>
    <phoneticPr fontId="6"/>
  </si>
  <si>
    <t>日鉄物流㈱ （仮称）王子原社宅　Ⅱ新築工事</t>
    <phoneticPr fontId="6"/>
  </si>
  <si>
    <t>―</t>
    <phoneticPr fontId="6"/>
  </si>
  <si>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</si>
  <si>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</si>
  <si>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</si>
  <si>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</si>
  <si>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</si>
  <si>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白井栄司</t>
    <phoneticPr fontId="6"/>
  </si>
  <si>
    <t>03-2410-008</t>
    <phoneticPr fontId="6"/>
  </si>
  <si>
    <t>クレーネサンヨウ浴室改修工事</t>
    <phoneticPr fontId="6"/>
  </si>
  <si>
    <t>山陽特殊製鋼㈱</t>
    <phoneticPr fontId="40"/>
  </si>
  <si>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</si>
  <si>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</si>
  <si>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</si>
  <si>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</si>
  <si>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</si>
  <si>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</si>
  <si>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</si>
  <si>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</si>
  <si>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</si>
  <si>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</si>
  <si>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</si>
  <si>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猪澤和喜</t>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</si>
  <si>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</si>
  <si>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</si>
  <si>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40"/>
  </si>
  <si>
    <t>03-2508-002</t>
    <phoneticPr fontId="6"/>
  </si>
  <si>
    <t>(仮称)アリノベ本社工場新築工事</t>
    <phoneticPr fontId="6"/>
  </si>
  <si>
    <t>㈲アリノベ 代表取締役 有延 秀棋</t>
    <rPh sb="6" eb="11">
      <t>ダイヒョウトリシマリヤク</t>
    </rPh>
    <rPh sb="12" eb="14">
      <t>アリノベ</t>
    </rPh>
    <rPh sb="15" eb="16">
      <t>シュウ</t>
    </rPh>
    <rPh sb="16" eb="17">
      <t>キ</t>
    </rPh>
    <phoneticPr fontId="40"/>
  </si>
  <si>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</si>
  <si>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</si>
  <si>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</si>
  <si>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</si>
  <si>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</si>
  <si>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</si>
  <si>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</si>
  <si>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玉山成賛</t>
    <phoneticPr fontId="40"/>
  </si>
  <si>
    <t>畑田洋樹</t>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</si>
  <si>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</si>
  <si>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</si>
  <si>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</si>
  <si>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福永将士</t>
    <phoneticPr fontId="40"/>
  </si>
  <si>
    <t>03-2513-001</t>
    <phoneticPr fontId="6"/>
  </si>
  <si>
    <t>(仮称)岡崎整形外科 新築工事</t>
    <phoneticPr fontId="6"/>
  </si>
  <si>
    <t>岡崎史郎</t>
    <rPh sb="0" eb="2">
      <t>オカザキ</t>
    </rPh>
    <rPh sb="2" eb="4">
      <t>シロウ</t>
    </rPh>
    <phoneticPr fontId="40"/>
  </si>
  <si>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</si>
  <si>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</si>
  <si>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</si>
  <si>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</si>
  <si>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</si>
  <si>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井川貴裕</t>
    <phoneticPr fontId="6"/>
  </si>
  <si>
    <t>03-2515-001</t>
    <phoneticPr fontId="6"/>
  </si>
  <si>
    <t>赤穂市 新学校給食センター新築工事【2025.6.1以降】</t>
    <rPh sb="26" eb="28">
      <t>イコウ</t>
    </rPh>
    <phoneticPr fontId="6"/>
  </si>
  <si>
    <t>赤穂市</t>
    <rPh sb="0" eb="3">
      <t>アコウシ</t>
    </rPh>
    <phoneticPr fontId="12"/>
  </si>
  <si>
    <t>森崎組JV（請負総2,023,030,000）</t>
    <phoneticPr fontId="6"/>
  </si>
  <si>
    <t>近藤正和</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</si>
  <si>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</si>
  <si>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</si>
  <si>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</si>
  <si>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</si>
  <si>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</si>
  <si>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</si>
  <si>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</si>
  <si>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</si>
  <si>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</si>
  <si>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03-2514-001</t>
    <phoneticPr fontId="40"/>
  </si>
  <si>
    <t>オルカ・サンヨウ宅配BOX前 防犯カメラ設置工事</t>
    <phoneticPr fontId="40"/>
  </si>
  <si>
    <t>03-2514-002</t>
    <phoneticPr fontId="40"/>
  </si>
  <si>
    <t>オルカ・サンヨウ、クレーネサンヨウ グレーチング設置工事</t>
    <phoneticPr fontId="40"/>
  </si>
  <si>
    <t>柴田裕一朗</t>
    <phoneticPr fontId="40"/>
  </si>
  <si>
    <t>03-2509-001</t>
    <phoneticPr fontId="40"/>
  </si>
  <si>
    <t>カノープス姫路浴室建具ATゴム調整</t>
    <rPh sb="5" eb="7">
      <t>ヒメジ</t>
    </rPh>
    <rPh sb="7" eb="9">
      <t>ヨクシツ</t>
    </rPh>
    <rPh sb="9" eb="11">
      <t>タテグ</t>
    </rPh>
    <rPh sb="15" eb="17">
      <t>チョウセイ</t>
    </rPh>
    <phoneticPr fontId="40"/>
  </si>
  <si>
    <t>カノープス姫路</t>
    <rPh sb="5" eb="7">
      <t>ヒメジ</t>
    </rPh>
    <phoneticPr fontId="40"/>
  </si>
  <si>
    <t>やぐら保育園分園　レバーハンドル修繕</t>
    <rPh sb="3" eb="6">
      <t>ホイクエン</t>
    </rPh>
    <rPh sb="6" eb="8">
      <t>ブンエン</t>
    </rPh>
    <rPh sb="16" eb="18">
      <t>シュウゼン</t>
    </rPh>
    <phoneticPr fontId="40"/>
  </si>
  <si>
    <t>やぐら保育園</t>
    <phoneticPr fontId="40"/>
  </si>
  <si>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40"/>
  </si>
  <si>
    <t>髙見淳也</t>
    <phoneticPr fontId="40"/>
  </si>
  <si>
    <t>新南陽駅事務所外新築工事</t>
    <phoneticPr fontId="40"/>
  </si>
  <si>
    <t>白井栄司</t>
    <phoneticPr fontId="40"/>
  </si>
  <si>
    <t>03-2510-004</t>
    <phoneticPr fontId="40"/>
  </si>
  <si>
    <t>㈱三友鋼機　屋根修繕工事</t>
    <phoneticPr fontId="40"/>
  </si>
  <si>
    <t>常総開発工業㈱</t>
    <phoneticPr fontId="40"/>
  </si>
  <si>
    <t>ー</t>
    <phoneticPr fontId="40"/>
  </si>
  <si>
    <t>スチールパネル姫路工場 事務所改修工事</t>
    <phoneticPr fontId="40"/>
  </si>
  <si>
    <t>阿比野建設㈱</t>
    <rPh sb="0" eb="1">
      <t>ア</t>
    </rPh>
    <rPh sb="1" eb="2">
      <t>ヒ</t>
    </rPh>
    <rPh sb="2" eb="3">
      <t>ノ</t>
    </rPh>
    <rPh sb="3" eb="5">
      <t>ケンセツ</t>
    </rPh>
    <phoneticPr fontId="40"/>
  </si>
  <si>
    <t>㈱エーモン加古川倉庫改修工事</t>
    <phoneticPr fontId="40"/>
  </si>
  <si>
    <t>畑田洋樹</t>
    <phoneticPr fontId="40"/>
  </si>
  <si>
    <t>2階待合室　ガラス入替工事</t>
    <phoneticPr fontId="40"/>
  </si>
  <si>
    <t>オアシスデンタルオフィス</t>
    <phoneticPr fontId="40"/>
  </si>
  <si>
    <t>姫路市姫路東消防団 谷内分団詰所改築工事</t>
    <phoneticPr fontId="40"/>
  </si>
  <si>
    <t>㈱福岡建設</t>
    <phoneticPr fontId="40"/>
  </si>
  <si>
    <t>㈱IHI 中央ハウス・旧診療所解体及び残置建物補強工事</t>
    <phoneticPr fontId="40"/>
  </si>
  <si>
    <t>㈱IHI　技建相生　廣田憲治</t>
    <phoneticPr fontId="40"/>
  </si>
  <si>
    <t>◯</t>
    <phoneticPr fontId="40"/>
  </si>
  <si>
    <t>加茂病院　錠前修理工事</t>
    <phoneticPr fontId="40"/>
  </si>
  <si>
    <t>加茂病院</t>
    <phoneticPr fontId="40"/>
  </si>
  <si>
    <t xml:space="preserve">_x000D_
</t>
    <phoneticPr fontId="40"/>
  </si>
  <si>
    <t>保原詠史</t>
    <phoneticPr fontId="40"/>
  </si>
  <si>
    <t>姫路市立書写中学校外1校屋内運動場空調設備設置工事</t>
    <phoneticPr fontId="40"/>
  </si>
  <si>
    <t>金額は決定次第連絡あり</t>
    <phoneticPr fontId="40"/>
  </si>
  <si>
    <t>郵送至急</t>
    <phoneticPr fontId="40"/>
  </si>
  <si>
    <t>なし</t>
    <phoneticPr fontId="40"/>
  </si>
  <si>
    <t>NSハイパーツ株式会社　鈴村様</t>
    <phoneticPr fontId="40"/>
  </si>
  <si>
    <t>509-0429</t>
    <phoneticPr fontId="40"/>
  </si>
  <si>
    <t>岐阜県可児市姫ヶ丘丁目35</t>
    <phoneticPr fontId="40"/>
  </si>
  <si>
    <t>阿比野建設　姫路パネル工場</t>
    <phoneticPr fontId="40"/>
  </si>
  <si>
    <t>NSハイパーツ株式会社　</t>
    <phoneticPr fontId="40"/>
  </si>
  <si>
    <t>郵送普通</t>
    <phoneticPr fontId="40"/>
  </si>
  <si>
    <t>兵庫縣姫路護國神社　宮司　泉　和慶</t>
    <phoneticPr fontId="40"/>
  </si>
  <si>
    <t>670-0012</t>
    <phoneticPr fontId="40"/>
  </si>
  <si>
    <t>姫路市本町118</t>
    <phoneticPr fontId="40"/>
  </si>
  <si>
    <t>671-1154</t>
    <phoneticPr fontId="40"/>
  </si>
  <si>
    <t>医療法人社団　健樹会　ささき整形外科クリニック</t>
    <phoneticPr fontId="40"/>
  </si>
  <si>
    <t>671-1523</t>
    <phoneticPr fontId="40"/>
  </si>
  <si>
    <t>兵庫県揖保郡太子町東南345</t>
    <phoneticPr fontId="40"/>
  </si>
  <si>
    <t>揖保郡太子町東南345</t>
    <phoneticPr fontId="40"/>
  </si>
  <si>
    <t>院長先生</t>
    <phoneticPr fontId="40"/>
  </si>
  <si>
    <t>キングフーズ 株式会社  管理部 川内様</t>
    <phoneticPr fontId="40"/>
  </si>
  <si>
    <t>兵庫県高砂市荒井町新浜2-12-1</t>
    <phoneticPr fontId="40"/>
  </si>
  <si>
    <t>ｷﾝｸﾞﾌｰｽﾞ 株式会社</t>
    <phoneticPr fontId="40"/>
  </si>
  <si>
    <t>老人保健施設カノープス姫路</t>
    <rPh sb="0" eb="2">
      <t>ロウジン</t>
    </rPh>
    <rPh sb="2" eb="4">
      <t>ホケン</t>
    </rPh>
    <rPh sb="4" eb="6">
      <t>シセツ</t>
    </rPh>
    <rPh sb="11" eb="13">
      <t>ヒメジ</t>
    </rPh>
    <phoneticPr fontId="40"/>
  </si>
  <si>
    <t>姫路市別所町別所960-1</t>
    <rPh sb="3" eb="6">
      <t>ベッショチョウ</t>
    </rPh>
    <rPh sb="6" eb="8">
      <t>ベッショ</t>
    </rPh>
    <phoneticPr fontId="40"/>
  </si>
  <si>
    <t>宇野</t>
    <rPh sb="0" eb="2">
      <t>ウノ</t>
    </rPh>
    <phoneticPr fontId="40"/>
  </si>
  <si>
    <t>社会福祉法人　八葉福祉会　やぐら保育園</t>
    <rPh sb="0" eb="6">
      <t>シャカイフクシホウジン</t>
    </rPh>
    <rPh sb="7" eb="8">
      <t>ハチ</t>
    </rPh>
    <rPh sb="8" eb="9">
      <t>ヨウ</t>
    </rPh>
    <rPh sb="9" eb="12">
      <t>フクシカイ</t>
    </rPh>
    <rPh sb="16" eb="19">
      <t>ホイクエン</t>
    </rPh>
    <phoneticPr fontId="40"/>
  </si>
  <si>
    <t>672-8091</t>
    <phoneticPr fontId="40"/>
  </si>
  <si>
    <t>姫路市飾磨区英賀保駅前町82番6</t>
    <phoneticPr fontId="40"/>
  </si>
  <si>
    <t>分園</t>
    <rPh sb="0" eb="2">
      <t>ブンエン</t>
    </rPh>
    <phoneticPr fontId="40"/>
  </si>
  <si>
    <t>金子園長</t>
    <rPh sb="0" eb="2">
      <t>カネコ</t>
    </rPh>
    <rPh sb="2" eb="4">
      <t>エンチョウ</t>
    </rPh>
    <phoneticPr fontId="40"/>
  </si>
  <si>
    <t>医療法人仁寿会　石川病院</t>
    <rPh sb="0" eb="4">
      <t>イリョウホウジン</t>
    </rPh>
    <rPh sb="4" eb="7">
      <t>ジンジュカイ</t>
    </rPh>
    <rPh sb="8" eb="10">
      <t>イシカワ</t>
    </rPh>
    <rPh sb="10" eb="12">
      <t>ビョウイン</t>
    </rPh>
    <phoneticPr fontId="40"/>
  </si>
  <si>
    <t>671-0221</t>
    <phoneticPr fontId="40"/>
  </si>
  <si>
    <t>姫路市別所町別所２丁目150</t>
    <rPh sb="0" eb="3">
      <t>ヒメジシ</t>
    </rPh>
    <rPh sb="3" eb="6">
      <t>ベッショチョウ</t>
    </rPh>
    <rPh sb="6" eb="8">
      <t>ベッショ</t>
    </rPh>
    <rPh sb="9" eb="11">
      <t>チョウメ</t>
    </rPh>
    <phoneticPr fontId="40"/>
  </si>
  <si>
    <t>石川病院　６階内部</t>
    <rPh sb="0" eb="4">
      <t>イシカワビョウイン</t>
    </rPh>
    <rPh sb="6" eb="7">
      <t>カイ</t>
    </rPh>
    <rPh sb="7" eb="9">
      <t>ナイブ</t>
    </rPh>
    <phoneticPr fontId="40"/>
  </si>
  <si>
    <t>村田</t>
    <phoneticPr fontId="40"/>
  </si>
  <si>
    <t>領収書</t>
    <phoneticPr fontId="40"/>
  </si>
  <si>
    <t>ニッケあすも加古川　220号室　水田泰子</t>
    <phoneticPr fontId="40"/>
  </si>
  <si>
    <t>675-0037</t>
    <phoneticPr fontId="40"/>
  </si>
  <si>
    <t>加古川市加古川町本町239-1</t>
    <phoneticPr fontId="40"/>
  </si>
  <si>
    <t>ニッケあすも内</t>
    <phoneticPr fontId="40"/>
  </si>
  <si>
    <t>ニッケあすも加古川　217号室　酒井　節男</t>
    <phoneticPr fontId="40"/>
  </si>
  <si>
    <t>㈱ニッケ・ケアサービス　ニッケあすも加古川</t>
    <phoneticPr fontId="40"/>
  </si>
  <si>
    <t xml:space="preserve">
茨城県神栖市賀2108-8
</t>
    <phoneticPr fontId="40"/>
  </si>
  <si>
    <t>見積書</t>
    <phoneticPr fontId="40"/>
  </si>
  <si>
    <t>671-1146</t>
    <phoneticPr fontId="40"/>
  </si>
  <si>
    <t>姫路市大津区大津町1-31-109</t>
    <phoneticPr fontId="40"/>
  </si>
  <si>
    <t>岡野様</t>
    <phoneticPr fontId="40"/>
  </si>
  <si>
    <t>上記工事</t>
    <rPh sb="0" eb="2">
      <t>ジョウキ</t>
    </rPh>
    <rPh sb="2" eb="4">
      <t>コウジ</t>
    </rPh>
    <phoneticPr fontId="6"/>
  </si>
  <si>
    <t>03-2503-009</t>
  </si>
  <si>
    <t>梅津眼科</t>
  </si>
  <si>
    <t>NSハイパーツ株式会社　</t>
  </si>
  <si>
    <t>509-0429</t>
  </si>
  <si>
    <t>依頼NO</t>
    <rPh sb="0" eb="2">
      <t>イライ</t>
    </rPh>
    <phoneticPr fontId="6"/>
  </si>
  <si>
    <t>請求書番号（経理用）</t>
  </si>
  <si>
    <t>発行日</t>
    <rPh sb="0" eb="3">
      <t>ハッコウビ</t>
    </rPh>
    <phoneticPr fontId="6"/>
  </si>
  <si>
    <t>1:担当者</t>
    <phoneticPr fontId="6"/>
  </si>
  <si>
    <t>8:請負金額</t>
    <phoneticPr fontId="6"/>
  </si>
  <si>
    <t>13:依頼書作成日</t>
    <rPh sb="3" eb="6">
      <t>イライショ</t>
    </rPh>
    <rPh sb="6" eb="9">
      <t>サクセイビ</t>
    </rPh>
    <phoneticPr fontId="6"/>
  </si>
  <si>
    <t>15:提出要項(その他)</t>
    <rPh sb="10" eb="11">
      <t>ホカ</t>
    </rPh>
    <phoneticPr fontId="29"/>
  </si>
  <si>
    <t>16:同封物</t>
    <phoneticPr fontId="29"/>
  </si>
  <si>
    <t>17:提出日付</t>
    <phoneticPr fontId="29"/>
  </si>
  <si>
    <t>20:請求書記載文言</t>
    <phoneticPr fontId="29"/>
  </si>
  <si>
    <t>21:担当者引継ぎコメント</t>
    <rPh sb="3" eb="6">
      <t>タントウシャ</t>
    </rPh>
    <rPh sb="6" eb="8">
      <t>ヒキツ</t>
    </rPh>
    <phoneticPr fontId="29"/>
  </si>
  <si>
    <t>22:領収書注意文</t>
    <phoneticPr fontId="29"/>
  </si>
  <si>
    <t>23:振込手数料注意文</t>
    <phoneticPr fontId="29"/>
  </si>
  <si>
    <t>24:但陽信金口座指定</t>
    <phoneticPr fontId="29"/>
  </si>
  <si>
    <t>レイテク</t>
    <phoneticPr fontId="40"/>
  </si>
  <si>
    <t>03-25000-1111-001</t>
    <phoneticPr fontId="40"/>
  </si>
  <si>
    <t>テスト</t>
    <phoneticPr fontId="40"/>
  </si>
  <si>
    <t>あいうえお</t>
    <phoneticPr fontId="40"/>
  </si>
  <si>
    <t>見積書,納品書,工事写真帳,工事完了届</t>
    <phoneticPr fontId="40"/>
  </si>
  <si>
    <t>株式会社ニッケ・ケアサービス　ニッケあすも加古川aaaaaaaaa iiiiiiiiiiiiiiiii uuuuuuuuuuuuu</t>
    <phoneticPr fontId="40"/>
  </si>
  <si>
    <t>あああ</t>
  </si>
  <si>
    <t>てすと</t>
  </si>
  <si>
    <t>りょうしゅうしょ</t>
    <phoneticPr fontId="40"/>
  </si>
  <si>
    <t>ふりこみ</t>
    <phoneticPr fontId="40"/>
  </si>
  <si>
    <t>たんよう</t>
    <phoneticPr fontId="40"/>
  </si>
  <si>
    <t>レイテク</t>
  </si>
  <si>
    <t>03-25000-1111-001</t>
  </si>
  <si>
    <t>テスト</t>
  </si>
  <si>
    <t>郵送至急</t>
  </si>
  <si>
    <t>あいうえお</t>
  </si>
  <si>
    <t>見積書,納品書,工事写真帳,工事完了届</t>
  </si>
  <si>
    <t>あいうえ</t>
    <phoneticPr fontId="40"/>
  </si>
  <si>
    <t>見積書,工事完了届</t>
    <phoneticPr fontId="40"/>
  </si>
  <si>
    <t>あああ</t>
    <phoneticPr fontId="40"/>
  </si>
  <si>
    <t>てすと</t>
    <phoneticPr fontId="40"/>
  </si>
  <si>
    <t>株式会社ニッケ・ケアサービス　ニッケあすも加古川</t>
    <phoneticPr fontId="40"/>
  </si>
  <si>
    <t>株式会社ニッケ・ケアサービス　ニッケあすも加古川aaaaaaaaa iiiiiiiiiiiiiiiii uuuuuuuuuuuuu</t>
  </si>
  <si>
    <t>りょうしゅうしょ</t>
  </si>
  <si>
    <t>ふりこみ</t>
  </si>
  <si>
    <t>たんよう</t>
  </si>
  <si>
    <t>313-1</t>
  </si>
  <si>
    <t>納品書</t>
  </si>
  <si>
    <t>●●●</t>
  </si>
  <si>
    <t>〇</t>
  </si>
  <si>
    <r>
      <t xml:space="preserve">姫路市姫路東消防団 </t>
    </r>
    <r>
      <rPr>
        <sz val="12"/>
        <color rgb="FFFF0000"/>
        <rFont val="Meiryo UI"/>
        <family val="3"/>
        <charset val="128"/>
      </rPr>
      <t>谷内</t>
    </r>
    <r>
      <rPr>
        <sz val="12"/>
        <color theme="1"/>
        <rFont val="Meiryo UI"/>
        <family val="3"/>
        <charset val="128"/>
      </rPr>
      <t>分団詰所改築工事（設計費）</t>
    </r>
    <phoneticPr fontId="6"/>
  </si>
  <si>
    <t>NSハイパーツ株式会社　鈴村様</t>
  </si>
  <si>
    <t>岐阜県可児市姫ヶ丘丁目35</t>
  </si>
  <si>
    <t>阿比野建設　姫路パネル工場</t>
  </si>
  <si>
    <t>Bill one で請求</t>
  </si>
  <si>
    <t>畑田洋樹</t>
    <rPh sb="0" eb="2">
      <t>ハタダ</t>
    </rPh>
    <rPh sb="2" eb="4">
      <t>ヒロキ</t>
    </rPh>
    <phoneticPr fontId="1"/>
  </si>
  <si>
    <t>日鉄建材㈱広畑製造所　事務所増築工事（新設工事・解体工事）</t>
    <rPh sb="11" eb="13">
      <t>ジム</t>
    </rPh>
    <rPh sb="19" eb="21">
      <t>シンセツ</t>
    </rPh>
    <rPh sb="21" eb="23">
      <t>コウジ</t>
    </rPh>
    <rPh sb="24" eb="26">
      <t>カイタイ</t>
    </rPh>
    <rPh sb="26" eb="28">
      <t>コウジ</t>
    </rPh>
    <phoneticPr fontId="6"/>
  </si>
  <si>
    <t>〇</t>
    <phoneticPr fontId="40"/>
  </si>
  <si>
    <t>契約書に基づく中間時ご請求_x000D_
信國社長が請求書提出依頼書作成</t>
    <phoneticPr fontId="40"/>
  </si>
  <si>
    <t>東芝エレベータ㈱姫路工場　部品センター改修工事</t>
    <rPh sb="0" eb="2">
      <t>トウシバ</t>
    </rPh>
    <rPh sb="8" eb="10">
      <t>ヒメジ</t>
    </rPh>
    <rPh sb="10" eb="12">
      <t>コウジョウ</t>
    </rPh>
    <rPh sb="13" eb="15">
      <t>ブヒン</t>
    </rPh>
    <rPh sb="19" eb="23">
      <t>カイシュウコウジ</t>
    </rPh>
    <phoneticPr fontId="6"/>
  </si>
  <si>
    <t>工事は11/1～</t>
    <rPh sb="0" eb="2">
      <t>コウジ</t>
    </rPh>
    <phoneticPr fontId="6"/>
  </si>
  <si>
    <t>保原詠史</t>
    <phoneticPr fontId="1"/>
  </si>
  <si>
    <t>ファインレジデンス神戸新長田２年定期点検検査・補修工事</t>
    <rPh sb="9" eb="11">
      <t>コウベ</t>
    </rPh>
    <rPh sb="11" eb="14">
      <t>シンナガタ</t>
    </rPh>
    <rPh sb="15" eb="16">
      <t>ネン</t>
    </rPh>
    <rPh sb="16" eb="18">
      <t>テイキ</t>
    </rPh>
    <rPh sb="18" eb="20">
      <t>テンケン</t>
    </rPh>
    <rPh sb="20" eb="22">
      <t>ケンサ</t>
    </rPh>
    <rPh sb="23" eb="25">
      <t>ホシュウ</t>
    </rPh>
    <rPh sb="25" eb="27">
      <t>コウジ</t>
    </rPh>
    <phoneticPr fontId="6"/>
  </si>
  <si>
    <t>大林組</t>
    <rPh sb="0" eb="3">
      <t>オオバヤシグミ</t>
    </rPh>
    <phoneticPr fontId="6"/>
  </si>
  <si>
    <t>03-2503-004</t>
  </si>
  <si>
    <t>03-2503-006</t>
  </si>
  <si>
    <t>03-2503-007</t>
  </si>
  <si>
    <t>姫路市姫路西消防団太市分団詰所改築工事</t>
  </si>
  <si>
    <t>近藤正和</t>
  </si>
  <si>
    <t>キングフーズ㈱焙煎室壁補修工事</t>
  </si>
  <si>
    <t>キングフーズ㈱</t>
  </si>
  <si>
    <t>青田　 誠</t>
    <phoneticPr fontId="40"/>
  </si>
  <si>
    <t>03-2515-002</t>
  </si>
  <si>
    <t>赤穂市新学校給食センター整備事業　事務備品調達</t>
  </si>
  <si>
    <t>【テスト】西川絵里</t>
    <phoneticPr fontId="40"/>
  </si>
  <si>
    <t>03-2550-001</t>
  </si>
  <si>
    <t>××工事</t>
    <phoneticPr fontId="40"/>
  </si>
  <si>
    <t>〇〇〇○</t>
    <phoneticPr fontId="40"/>
  </si>
  <si>
    <t>税込金額</t>
    <phoneticPr fontId="40"/>
  </si>
  <si>
    <t>梅津眼科　梅津先生</t>
  </si>
  <si>
    <t>671-1116</t>
  </si>
  <si>
    <t>姫路市広畑区正門通2-8-4</t>
  </si>
  <si>
    <t>姫路市長　清元秀泰</t>
    <phoneticPr fontId="40"/>
  </si>
  <si>
    <t>aaa</t>
    <phoneticPr fontId="40"/>
  </si>
  <si>
    <t>iii</t>
    <phoneticPr fontId="40"/>
  </si>
  <si>
    <t>まちだ</t>
  </si>
  <si>
    <t>テストです</t>
  </si>
  <si>
    <t>納品書</t>
    <phoneticPr fontId="40"/>
  </si>
  <si>
    <t>ニッケあすも加古川　217号室　酒井　節男</t>
  </si>
  <si>
    <t>ニッケあすも加古川　217号室　酒井　節男</t>
    <phoneticPr fontId="6"/>
  </si>
  <si>
    <t>675-0037　加古川市加古川町本町239-1</t>
    <phoneticPr fontId="6"/>
  </si>
  <si>
    <t>姫路市姫路東消防団 谷内分団詰所改築工事</t>
    <phoneticPr fontId="6"/>
  </si>
  <si>
    <t>工事番号：03-2503-008</t>
    <phoneticPr fontId="29"/>
  </si>
  <si>
    <t>ニッケあすも内</t>
    <phoneticPr fontId="6"/>
  </si>
  <si>
    <t>sss</t>
  </si>
  <si>
    <t>sss</t>
    <phoneticPr fontId="6"/>
  </si>
  <si>
    <t>着手：2025/07/25</t>
    <phoneticPr fontId="29"/>
  </si>
  <si>
    <t>完成：2026/02/12</t>
    <phoneticPr fontId="29"/>
  </si>
  <si>
    <t>引渡日：</t>
    <phoneticPr fontId="29"/>
  </si>
  <si>
    <t>提出日付：</t>
    <phoneticPr fontId="29"/>
  </si>
  <si>
    <t>2026年2月16日</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</si>
</sst>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yyyy/mm/dd;@"/>
    <numFmt numFmtId="178" formatCode="yy/mm/dd;@"/>
    <numFmt numFmtId="179" formatCode="0.0"/>
    <numFmt numFmtId="180" formatCode="yyyy/mm/dd"/>
  </numFmts>
  <fonts count="45">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b/>
      <sz val="12"/>
      <color rgb="FFFF0000"/>
      <name val="Meiryo UI"/>
      <family val="3"/>
      <charset val="128"/>
    </font>
    <font>
      <b/>
      <sz val="12"/>
      <color theme="1"/>
      <name val="ＭＳ ゴシック"/>
      <family val="3"/>
      <charset val="128"/>
    </font>
    <font>
      <sz val="12"/>
      <color rgb="FFFF0000"/>
      <name val="Meiryo UI"/>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theme="1" tint="0.499984740745262"/>
        <bgColor indexed="64"/>
      </patternFill>
    </fill>
    <fill>
      <patternFill patternType="solid">
        <fgColor rgb="FFFFFF00"/>
        <bgColor indexed="64"/>
      </patternFill>
    </fill>
    <fill>
      <patternFill patternType="solid">
        <fgColor theme="5" tint="0.59999389629810485"/>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107">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cellStyleXfs>
  <cellXfs count="191">
    <xf numFmtId="0" fontId="0" fillId="0" borderId="0" xfId="0">
      <alignment vertical="center"/>
    </xf>
    <xf numFmtId="0" fontId="30" fillId="0" borderId="0" xfId="101" applyFont="1" applyAlignment="1">
      <alignment vertical="center"/>
    </xf>
    <xf numFmtId="0" fontId="30" fillId="0" borderId="0" xfId="101" applyFont="1" applyAlignment="1">
      <alignment horizontal="right" vertical="center"/>
    </xf>
    <xf numFmtId="0" fontId="30" fillId="0" borderId="13" xfId="101" applyFont="1" applyBorder="1" applyAlignment="1">
      <alignment horizontal="center" vertical="center"/>
    </xf>
    <xf numFmtId="0" fontId="30" fillId="0" borderId="0" xfId="101" applyFont="1" applyAlignment="1">
      <alignment horizontal="center" vertical="center"/>
    </xf>
    <xf numFmtId="0" fontId="30" fillId="0" borderId="15"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right" vertical="center"/>
    </xf>
    <xf numFmtId="0" fontId="30" fillId="0" borderId="12" xfId="101" applyFont="1" applyBorder="1" applyAlignment="1">
      <alignment horizontal="left" vertical="center"/>
    </xf>
    <xf numFmtId="0" fontId="30" fillId="0" borderId="14" xfId="101" applyFont="1" applyBorder="1" applyAlignment="1">
      <alignment vertical="center"/>
    </xf>
    <xf numFmtId="0" fontId="30" fillId="0" borderId="16" xfId="101" applyFont="1" applyBorder="1" applyAlignment="1">
      <alignment vertical="center"/>
    </xf>
    <xf numFmtId="0" fontId="30" fillId="0" borderId="18" xfId="101" applyFont="1" applyBorder="1" applyAlignment="1">
      <alignment vertical="center"/>
    </xf>
    <xf numFmtId="0" fontId="30" fillId="0" borderId="19" xfId="101" applyFont="1" applyBorder="1" applyAlignment="1">
      <alignment vertical="center"/>
    </xf>
    <xf numFmtId="0" fontId="30" fillId="0" borderId="20" xfId="101" applyFont="1" applyBorder="1" applyAlignment="1">
      <alignment vertical="center"/>
    </xf>
    <xf numFmtId="0" fontId="30" fillId="33" borderId="10" xfId="101" applyFont="1" applyFill="1" applyBorder="1" applyAlignment="1">
      <alignment horizontal="center" vertical="center"/>
    </xf>
    <xf numFmtId="0" fontId="30" fillId="33" borderId="11" xfId="101" applyFont="1" applyFill="1" applyBorder="1" applyAlignment="1">
      <alignment vertical="center"/>
    </xf>
    <xf numFmtId="0" fontId="30" fillId="0" borderId="37" xfId="101" applyFont="1" applyBorder="1" applyAlignment="1">
      <alignment horizontal="center" vertical="center"/>
    </xf>
    <xf numFmtId="0" fontId="30" fillId="0" borderId="42" xfId="101" applyFont="1" applyBorder="1" applyAlignment="1">
      <alignment horizontal="center" vertical="center"/>
    </xf>
    <xf numFmtId="0" fontId="30" fillId="0" borderId="42" xfId="101" applyFont="1" applyBorder="1" applyAlignment="1">
      <alignment vertical="center"/>
    </xf>
    <xf numFmtId="0" fontId="30" fillId="0" borderId="24" xfId="101" applyFont="1" applyBorder="1" applyAlignment="1">
      <alignment vertical="center"/>
    </xf>
    <xf numFmtId="0" fontId="30" fillId="0" borderId="45" xfId="101" applyFont="1" applyBorder="1" applyAlignment="1">
      <alignment vertical="center"/>
    </xf>
    <xf numFmtId="0" fontId="25" fillId="0" borderId="0" xfId="101" applyFont="1" applyAlignment="1">
      <alignment vertical="center"/>
    </xf>
    <xf numFmtId="0" fontId="25" fillId="0" borderId="0" xfId="101" applyFont="1" applyAlignment="1">
      <alignment horizontal="right" vertical="center"/>
    </xf>
    <xf numFmtId="0" fontId="25" fillId="0" borderId="13" xfId="101" applyFont="1" applyBorder="1" applyAlignment="1">
      <alignment vertical="center"/>
    </xf>
    <xf numFmtId="0" fontId="25" fillId="0" borderId="17" xfId="101" applyFont="1" applyBorder="1" applyAlignment="1">
      <alignment vertical="center"/>
    </xf>
    <xf numFmtId="0" fontId="25" fillId="0" borderId="15" xfId="101" applyFont="1" applyBorder="1" applyAlignment="1">
      <alignment horizontal="center" vertical="center"/>
    </xf>
    <xf numFmtId="0" fontId="25" fillId="0" borderId="0" xfId="101" applyFont="1" applyAlignment="1">
      <alignment horizontal="center"/>
    </xf>
    <xf numFmtId="0" fontId="25" fillId="0" borderId="0" xfId="101" applyFont="1" applyAlignment="1">
      <alignment horizontal="center" vertical="center"/>
    </xf>
    <xf numFmtId="0" fontId="28" fillId="0" borderId="0" xfId="101" applyFont="1" applyAlignment="1">
      <alignment vertical="center"/>
    </xf>
    <xf numFmtId="0" fontId="25" fillId="0" borderId="13" xfId="101" applyFont="1" applyBorder="1" applyAlignment="1">
      <alignment horizontal="center" vertical="center"/>
    </xf>
    <xf numFmtId="0" fontId="25" fillId="0" borderId="12" xfId="101" applyFont="1" applyBorder="1" applyAlignment="1">
      <alignment horizontal="left" vertical="center"/>
    </xf>
    <xf numFmtId="0" fontId="30" fillId="0" borderId="13" xfId="101" applyFont="1" applyBorder="1" applyAlignment="1">
      <alignment vertical="center"/>
    </xf>
    <xf numFmtId="0" fontId="33" fillId="0" borderId="0" xfId="104" applyFont="1">
      <alignment vertical="center"/>
    </xf>
    <xf numFmtId="0" fontId="35" fillId="34" borderId="0" xfId="104" applyFont="1" applyFill="1">
      <alignment vertical="center"/>
    </xf>
    <xf numFmtId="0" fontId="36" fillId="34" borderId="0" xfId="0" applyFont="1" applyFill="1">
      <alignment vertical="center"/>
    </xf>
    <xf numFmtId="177" fontId="38" fillId="35" borderId="10" xfId="1" applyNumberFormat="1" applyFont="1" applyFill="1" applyBorder="1" applyAlignment="1">
      <alignment horizontal="center" vertical="center" wrapText="1"/>
    </xf>
    <xf numFmtId="177" fontId="38" fillId="35" borderId="10" xfId="1" applyNumberFormat="1" applyFont="1" applyFill="1" applyBorder="1" applyAlignment="1">
      <alignment horizontal="center" vertical="center"/>
    </xf>
    <xf numFmtId="0" fontId="25" fillId="0" borderId="0" xfId="0" applyFont="1">
      <alignment vertical="center"/>
    </xf>
    <xf numFmtId="0" fontId="39" fillId="36" borderId="10" xfId="0" applyFont="1" applyFill="1" applyBorder="1" applyAlignment="1">
      <alignment horizontal="center" vertical="center"/>
    </xf>
    <xf numFmtId="177" fontId="39" fillId="36" borderId="10" xfId="0" applyNumberFormat="1" applyFont="1" applyFill="1" applyBorder="1" applyAlignment="1">
      <alignment horizontal="center" vertical="center"/>
    </xf>
    <xf numFmtId="38" fontId="39" fillId="36" borderId="10" xfId="0" applyNumberFormat="1" applyFont="1" applyFill="1" applyBorder="1" applyAlignment="1">
      <alignment horizontal="center" vertical="center"/>
    </xf>
    <xf numFmtId="178" fontId="39" fillId="36" borderId="10" xfId="0" applyNumberFormat="1" applyFont="1" applyFill="1" applyBorder="1" applyAlignment="1">
      <alignment horizontal="center" vertical="center" wrapText="1"/>
    </xf>
    <xf numFmtId="14" fontId="39" fillId="36" borderId="10" xfId="0" applyNumberFormat="1" applyFont="1" applyFill="1" applyBorder="1" applyAlignment="1">
      <alignment horizontal="center" vertical="center"/>
    </xf>
    <xf numFmtId="180" fontId="38" fillId="35" borderId="10" xfId="1" applyNumberFormat="1" applyFont="1" applyFill="1" applyBorder="1" applyAlignment="1">
      <alignment horizontal="center" vertical="center" wrapText="1"/>
    </xf>
    <xf numFmtId="180" fontId="38" fillId="35" borderId="10" xfId="1" applyNumberFormat="1" applyFont="1" applyFill="1" applyBorder="1" applyAlignment="1">
      <alignment horizontal="center" vertical="center"/>
    </xf>
    <xf numFmtId="0" fontId="25" fillId="37" borderId="0" xfId="0" applyFont="1" applyFill="1">
      <alignment vertical="center"/>
    </xf>
    <xf numFmtId="0" fontId="41" fillId="0" borderId="0" xfId="0" applyFont="1">
      <alignment vertical="center"/>
    </xf>
    <xf numFmtId="0" fontId="25" fillId="39" borderId="0" xfId="0" applyFont="1" applyFill="1">
      <alignment vertical="center"/>
    </xf>
    <xf numFmtId="0" fontId="38" fillId="0" borderId="10" xfId="101" applyFont="1" applyBorder="1" applyAlignment="1">
      <alignment horizontal="center" vertical="center"/>
    </xf>
    <xf numFmtId="0" fontId="38" fillId="0" borderId="10" xfId="104" applyFont="1" applyBorder="1" applyAlignment="1">
      <alignment horizontal="center" vertical="center"/>
    </xf>
    <xf numFmtId="0" fontId="38" fillId="38" borderId="10" xfId="104" applyFont="1" applyFill="1" applyBorder="1" applyAlignment="1">
      <alignment horizontal="center" vertical="center"/>
    </xf>
    <xf numFmtId="0" fontId="38" fillId="0" borderId="0" xfId="0" applyFont="1">
      <alignment vertical="center"/>
    </xf>
    <xf numFmtId="0" fontId="39" fillId="36" borderId="15" xfId="0" applyFont="1" applyFill="1" applyBorder="1" applyAlignment="1">
      <alignment horizontal="center" vertical="center"/>
    </xf>
    <xf numFmtId="0" fontId="39" fillId="36" borderId="12" xfId="0" applyFont="1" applyFill="1" applyBorder="1" applyAlignment="1">
      <alignment horizontal="center" vertical="center"/>
    </xf>
    <xf numFmtId="0" fontId="39" fillId="36" borderId="11" xfId="0" applyFont="1" applyFill="1" applyBorder="1" applyAlignment="1">
      <alignment horizontal="center" vertical="center"/>
    </xf>
    <xf numFmtId="177" fontId="37" fillId="35" borderId="15" xfId="1" applyNumberFormat="1" applyFont="1" applyFill="1" applyBorder="1" applyAlignment="1">
      <alignment horizontal="center" vertical="center" wrapText="1"/>
    </xf>
    <xf numFmtId="177" fontId="37" fillId="35" borderId="12" xfId="1" applyNumberFormat="1" applyFont="1" applyFill="1" applyBorder="1" applyAlignment="1">
      <alignment horizontal="center" vertical="center" wrapText="1"/>
    </xf>
    <xf numFmtId="177" fontId="37" fillId="35" borderId="11" xfId="1" applyNumberFormat="1" applyFont="1" applyFill="1" applyBorder="1" applyAlignment="1">
      <alignment horizontal="center" vertical="center" wrapText="1"/>
    </xf>
    <xf numFmtId="0" fontId="25" fillId="0" borderId="12" xfId="101" applyFont="1" applyBorder="1" applyAlignment="1">
      <alignment horizontal="distributed" vertical="center"/>
    </xf>
    <xf numFmtId="0" fontId="25" fillId="0" borderId="15" xfId="101" applyFont="1" applyBorder="1" applyAlignment="1">
      <alignment horizontal="left" vertical="center"/>
    </xf>
    <xf numFmtId="0" fontId="25" fillId="0" borderId="12" xfId="101" applyFont="1" applyBorder="1" applyAlignment="1">
      <alignment horizontal="left" vertical="center"/>
    </xf>
    <xf numFmtId="0" fontId="25" fillId="0" borderId="15" xfId="101" applyFont="1" applyBorder="1" applyAlignment="1">
      <alignment horizontal="center" vertical="center" shrinkToFit="1"/>
    </xf>
    <xf numFmtId="0" fontId="25" fillId="0" borderId="12" xfId="101" applyFont="1" applyBorder="1" applyAlignment="1">
      <alignment horizontal="center" vertical="center" shrinkToFit="1"/>
    </xf>
    <xf numFmtId="0" fontId="25" fillId="0" borderId="11" xfId="101" applyFont="1" applyBorder="1" applyAlignment="1">
      <alignment horizontal="center" vertical="center" shrinkToFit="1"/>
    </xf>
    <xf numFmtId="0" fontId="30" fillId="0" borderId="13" xfId="101" applyFont="1" applyBorder="1" applyAlignment="1">
      <alignment vertical="center"/>
    </xf>
    <xf numFmtId="0" fontId="31" fillId="0" borderId="0" xfId="101" applyFont="1" applyAlignment="1">
      <alignment horizontal="center" vertical="center"/>
    </xf>
    <xf numFmtId="0" fontId="25" fillId="0" borderId="11" xfId="101" applyFont="1" applyBorder="1" applyAlignment="1">
      <alignment horizontal="left" vertical="center"/>
    </xf>
    <xf numFmtId="0" fontId="30" fillId="0" borderId="12" xfId="101" applyFont="1" applyBorder="1" applyAlignment="1">
      <alignment vertical="center" wrapText="1"/>
    </xf>
    <xf numFmtId="0" fontId="30" fillId="0" borderId="12" xfId="101" applyFont="1" applyBorder="1" applyAlignment="1">
      <alignment vertical="center"/>
    </xf>
    <xf numFmtId="0" fontId="30" fillId="0" borderId="11" xfId="101" applyFont="1" applyBorder="1" applyAlignment="1">
      <alignment vertical="center"/>
    </xf>
    <xf numFmtId="176" fontId="32" fillId="0" borderId="12" xfId="102" applyFont="1" applyFill="1" applyBorder="1" applyAlignment="1">
      <alignment horizontal="right" vertical="center"/>
    </xf>
    <xf numFmtId="0" fontId="25" fillId="0" borderId="12" xfId="101" applyFont="1" applyBorder="1" applyAlignment="1">
      <alignment vertical="center"/>
    </xf>
    <xf numFmtId="176" fontId="27" fillId="0" borderId="12" xfId="102" applyFont="1" applyFill="1" applyBorder="1" applyAlignment="1">
      <alignment horizontal="center" vertical="center"/>
    </xf>
    <xf numFmtId="14" fontId="25" fillId="0" borderId="15" xfId="101" applyNumberFormat="1" applyFont="1" applyBorder="1" applyAlignment="1">
      <alignment horizontal="left" vertical="center"/>
    </xf>
    <xf numFmtId="0" fontId="25" fillId="0" borderId="15" xfId="101" applyFont="1" applyBorder="1" applyAlignment="1">
      <alignment vertical="center"/>
    </xf>
    <xf numFmtId="0" fontId="25" fillId="0" borderId="11" xfId="101" applyFont="1" applyBorder="1" applyAlignment="1">
      <alignment vertical="center"/>
    </xf>
    <xf numFmtId="0" fontId="25" fillId="0" borderId="17" xfId="101" applyFont="1" applyBorder="1" applyAlignment="1">
      <alignment horizontal="center" vertical="center"/>
    </xf>
    <xf numFmtId="0" fontId="25" fillId="0" borderId="0" xfId="101" applyFont="1" applyAlignment="1">
      <alignment horizontal="center" vertical="center"/>
    </xf>
    <xf numFmtId="0" fontId="25" fillId="0" borderId="13" xfId="101" applyFont="1" applyBorder="1" applyAlignment="1">
      <alignment horizontal="center" vertical="center"/>
    </xf>
    <xf numFmtId="0" fontId="30" fillId="0" borderId="15" xfId="101" applyFont="1" applyBorder="1" applyAlignment="1">
      <alignment horizontal="left" vertical="center"/>
    </xf>
    <xf numFmtId="0" fontId="30" fillId="0" borderId="12" xfId="101" applyFont="1" applyBorder="1" applyAlignment="1">
      <alignment horizontal="left" vertical="center"/>
    </xf>
    <xf numFmtId="0" fontId="30" fillId="0" borderId="11" xfId="101" applyFont="1" applyBorder="1" applyAlignment="1">
      <alignment horizontal="left" vertical="center"/>
    </xf>
    <xf numFmtId="0" fontId="30" fillId="33" borderId="15" xfId="101" applyFont="1" applyFill="1" applyBorder="1" applyAlignment="1">
      <alignment horizontal="center" vertical="center"/>
    </xf>
    <xf numFmtId="0" fontId="30" fillId="33" borderId="12" xfId="101" applyFont="1" applyFill="1" applyBorder="1" applyAlignment="1">
      <alignment horizontal="center" vertical="center"/>
    </xf>
    <xf numFmtId="0" fontId="30" fillId="33" borderId="11" xfId="101" applyFont="1" applyFill="1" applyBorder="1" applyAlignment="1">
      <alignment horizontal="center" vertical="center"/>
    </xf>
    <xf numFmtId="0" fontId="30" fillId="33" borderId="28" xfId="101" applyFont="1" applyFill="1" applyBorder="1" applyAlignment="1">
      <alignment horizontal="center" vertical="center"/>
    </xf>
    <xf numFmtId="0" fontId="30" fillId="33" borderId="29" xfId="101" applyFont="1" applyFill="1" applyBorder="1" applyAlignment="1">
      <alignment horizontal="center" vertical="center"/>
    </xf>
    <xf numFmtId="0" fontId="30" fillId="33" borderId="30" xfId="101" applyFont="1" applyFill="1" applyBorder="1" applyAlignment="1">
      <alignment horizontal="center" vertical="center"/>
    </xf>
    <xf numFmtId="0" fontId="30" fillId="33" borderId="31" xfId="101" applyFont="1" applyFill="1" applyBorder="1" applyAlignment="1">
      <alignment horizontal="center" vertical="center"/>
    </xf>
    <xf numFmtId="0" fontId="30" fillId="0" borderId="32" xfId="101" applyFont="1" applyBorder="1" applyAlignment="1">
      <alignment horizontal="center" vertical="center"/>
    </xf>
    <xf numFmtId="0" fontId="30" fillId="0" borderId="33" xfId="101" applyFont="1" applyBorder="1" applyAlignment="1">
      <alignment horizontal="center" vertical="center"/>
    </xf>
    <xf numFmtId="0" fontId="30" fillId="0" borderId="34" xfId="101" applyFont="1" applyBorder="1" applyAlignment="1">
      <alignment horizontal="center" vertical="center"/>
    </xf>
    <xf numFmtId="179" fontId="30" fillId="0" borderId="35" xfId="101" applyNumberFormat="1" applyFont="1" applyBorder="1" applyAlignment="1">
      <alignment horizontal="center" vertical="center"/>
    </xf>
    <xf numFmtId="179" fontId="30" fillId="0" borderId="36" xfId="101" applyNumberFormat="1" applyFont="1" applyBorder="1" applyAlignment="1">
      <alignment horizontal="center" vertical="center"/>
    </xf>
    <xf numFmtId="38" fontId="30" fillId="0" borderId="37" xfId="103" applyFont="1" applyFill="1" applyBorder="1" applyAlignment="1">
      <alignment vertical="center"/>
    </xf>
    <xf numFmtId="38" fontId="30" fillId="0" borderId="38" xfId="103" applyFont="1" applyFill="1" applyBorder="1" applyAlignment="1">
      <alignment horizontal="right" vertical="center"/>
    </xf>
    <xf numFmtId="38" fontId="30" fillId="0" borderId="33" xfId="103" applyFont="1" applyFill="1" applyBorder="1" applyAlignment="1">
      <alignment horizontal="right" vertical="center"/>
    </xf>
    <xf numFmtId="38" fontId="30" fillId="0" borderId="39" xfId="103" applyFont="1" applyFill="1" applyBorder="1" applyAlignment="1">
      <alignment horizontal="right" vertical="center"/>
    </xf>
    <xf numFmtId="0" fontId="30" fillId="0" borderId="21" xfId="101" applyFont="1" applyBorder="1" applyAlignment="1">
      <alignment horizontal="center" vertical="center"/>
    </xf>
    <xf numFmtId="0" fontId="30" fillId="0" borderId="22" xfId="101" applyFont="1" applyBorder="1" applyAlignment="1">
      <alignment horizontal="center" vertical="center"/>
    </xf>
    <xf numFmtId="0" fontId="30" fillId="0" borderId="40" xfId="101" applyFont="1" applyBorder="1" applyAlignment="1">
      <alignment horizontal="center" vertical="center"/>
    </xf>
    <xf numFmtId="179" fontId="30" fillId="0" borderId="41" xfId="101" applyNumberFormat="1" applyFont="1" applyBorder="1" applyAlignment="1">
      <alignment horizontal="center" vertical="center"/>
    </xf>
    <xf numFmtId="179" fontId="30" fillId="0" borderId="40" xfId="101" applyNumberFormat="1" applyFont="1" applyBorder="1" applyAlignment="1">
      <alignment horizontal="center" vertical="center"/>
    </xf>
    <xf numFmtId="38" fontId="30" fillId="0" borderId="42" xfId="103" applyFont="1" applyFill="1" applyBorder="1" applyAlignment="1">
      <alignment horizontal="right" vertical="center"/>
    </xf>
    <xf numFmtId="38" fontId="30" fillId="0" borderId="41" xfId="103" applyFont="1" applyFill="1" applyBorder="1" applyAlignment="1">
      <alignment horizontal="right" vertical="center"/>
    </xf>
    <xf numFmtId="38" fontId="30" fillId="0" borderId="22" xfId="103" applyFont="1" applyFill="1" applyBorder="1" applyAlignment="1">
      <alignment horizontal="right" vertical="center"/>
    </xf>
    <xf numFmtId="38" fontId="30" fillId="0" borderId="23" xfId="103" applyFont="1" applyFill="1" applyBorder="1" applyAlignment="1">
      <alignment horizontal="right" vertical="center"/>
    </xf>
    <xf numFmtId="0" fontId="28" fillId="0" borderId="13" xfId="101" applyFont="1" applyBorder="1" applyAlignment="1">
      <alignment horizontal="center" vertical="center"/>
    </xf>
    <xf numFmtId="0" fontId="30" fillId="0" borderId="41" xfId="101" applyFont="1" applyBorder="1" applyAlignment="1">
      <alignment horizontal="center" vertical="center"/>
    </xf>
    <xf numFmtId="0" fontId="30" fillId="0" borderId="25" xfId="101" applyFont="1" applyBorder="1" applyAlignment="1">
      <alignment horizontal="center" vertical="center"/>
    </xf>
    <xf numFmtId="0" fontId="30" fillId="0" borderId="26" xfId="101" applyFont="1" applyBorder="1" applyAlignment="1">
      <alignment horizontal="center" vertical="center"/>
    </xf>
    <xf numFmtId="0" fontId="30" fillId="0" borderId="43" xfId="101" applyFont="1" applyBorder="1" applyAlignment="1">
      <alignment horizontal="center" vertical="center"/>
    </xf>
    <xf numFmtId="0" fontId="30" fillId="0" borderId="44" xfId="101" applyFont="1" applyBorder="1" applyAlignment="1">
      <alignment horizontal="center" vertical="center"/>
    </xf>
    <xf numFmtId="38" fontId="30" fillId="0" borderId="44" xfId="103" applyFont="1" applyFill="1" applyBorder="1" applyAlignment="1">
      <alignment horizontal="right" vertical="center"/>
    </xf>
    <xf numFmtId="38" fontId="30" fillId="0" borderId="26" xfId="103" applyFont="1" applyFill="1" applyBorder="1" applyAlignment="1">
      <alignment horizontal="right" vertical="center"/>
    </xf>
    <xf numFmtId="38" fontId="30" fillId="0" borderId="27" xfId="103" applyFont="1" applyFill="1" applyBorder="1" applyAlignment="1">
      <alignment horizontal="right" vertical="center"/>
    </xf>
    <xf numFmtId="0" fontId="27" fillId="0" borderId="17" xfId="101" applyFont="1" applyBorder="1" applyAlignment="1">
      <alignment horizontal="center" vertical="center" wrapText="1"/>
    </xf>
    <xf numFmtId="0" fontId="27" fillId="0" borderId="0" xfId="101" applyFont="1" applyAlignment="1">
      <alignment horizontal="center" vertical="center" wrapText="1"/>
    </xf>
    <xf numFmtId="0" fontId="27" fillId="0" borderId="13" xfId="101" applyFont="1" applyBorder="1" applyAlignment="1">
      <alignment horizontal="center" vertical="center" wrapText="1"/>
    </xf>
    <xf numFmtId="0" fontId="25" fillId="0" borderId="16" xfId="101" applyFont="1" applyBorder="1" applyAlignment="1">
      <alignment horizontal="left" vertical="top" wrapText="1"/>
    </xf>
    <xf numFmtId="0" fontId="25" fillId="0" borderId="17" xfId="101" applyFont="1" applyBorder="1" applyAlignment="1">
      <alignment horizontal="left" vertical="top"/>
    </xf>
    <xf numFmtId="0" fontId="25" fillId="0" borderId="18" xfId="101" applyFont="1" applyBorder="1" applyAlignment="1">
      <alignment horizontal="left" vertical="top"/>
    </xf>
    <xf numFmtId="0" fontId="25" fillId="0" borderId="19" xfId="101" applyFont="1" applyBorder="1" applyAlignment="1">
      <alignment horizontal="left" vertical="top"/>
    </xf>
    <xf numFmtId="0" fontId="25" fillId="0" borderId="0" xfId="101" applyFont="1" applyAlignment="1">
      <alignment horizontal="left" vertical="top"/>
    </xf>
    <xf numFmtId="0" fontId="25" fillId="0" borderId="20" xfId="101" applyFont="1" applyBorder="1" applyAlignment="1">
      <alignment horizontal="left" vertical="top"/>
    </xf>
    <xf numFmtId="0" fontId="25" fillId="0" borderId="24" xfId="101" applyFont="1" applyBorder="1" applyAlignment="1">
      <alignment horizontal="left" vertical="top"/>
    </xf>
    <xf numFmtId="0" fontId="25" fillId="0" borderId="13" xfId="101" applyFont="1" applyBorder="1" applyAlignment="1">
      <alignment horizontal="left" vertical="top"/>
    </xf>
    <xf numFmtId="0" fontId="25" fillId="0" borderId="14" xfId="101" applyFont="1" applyBorder="1" applyAlignment="1">
      <alignment horizontal="left" vertical="top"/>
    </xf>
    <xf numFmtId="0" fontId="25" fillId="0" borderId="0" xfId="101" applyFont="1" applyAlignment="1">
      <alignment horizontal="center"/>
    </xf>
    <xf numFmtId="0" fontId="25" fillId="0" borderId="0" xfId="101" applyFont="1" applyAlignment="1">
      <alignment vertical="center"/>
    </xf>
    <xf numFmtId="0" fontId="25" fillId="0" borderId="0" xfId="101" applyFont="1" applyAlignment="1">
      <alignment horizontal="left" vertical="center"/>
    </xf>
    <xf numFmtId="0" fontId="25" fillId="41" borderId="10" xfId="0" applyFont="1" applyFill="1" applyBorder="1">
      <alignment vertical="center"/>
    </xf>
    <xf numFmtId="0" fontId="43" fillId="0" borderId="0" xfId="0" applyFont="1">
      <alignment vertical="center"/>
    </xf>
    <xf numFmtId="14" fontId="43" fillId="0" borderId="0" xfId="0" applyNumberFormat="1" applyFont="1">
      <alignment vertical="center"/>
    </xf>
    <xf numFmtId="0" fontId="37" fillId="0" borderId="10" xfId="101" applyFont="1" applyBorder="1" applyAlignment="1">
      <alignment horizontal="center" vertical="center"/>
    </xf>
    <xf numFmtId="0" fontId="37" fillId="0" borderId="10" xfId="1" applyFont="1" applyBorder="1" applyAlignment="1">
      <alignment horizontal="center" vertical="center"/>
    </xf>
    <xf numFmtId="0" fontId="37" fillId="0" borderId="10" xfId="101" applyFont="1" applyBorder="1" applyAlignment="1">
      <alignment horizontal="left" vertical="center"/>
    </xf>
    <xf numFmtId="177" fontId="37" fillId="0" borderId="10" xfId="101"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lignment vertical="center"/>
    </xf>
    <xf numFmtId="177" fontId="37" fillId="0" borderId="10" xfId="104" applyNumberFormat="1" applyFont="1" applyBorder="1" applyAlignment="1">
      <alignment horizontal="center" vertical="center"/>
    </xf>
    <xf numFmtId="0" fontId="37" fillId="0" borderId="10" xfId="101" applyFont="1" applyBorder="1" applyAlignment="1">
      <alignment horizontal="left" vertical="center" wrapText="1"/>
    </xf>
    <xf numFmtId="177" fontId="37" fillId="0" borderId="10" xfId="1" applyNumberFormat="1" applyFont="1" applyBorder="1" applyAlignment="1">
      <alignment horizontal="center" vertical="center"/>
    </xf>
    <xf numFmtId="38" fontId="37" fillId="0" borderId="10" xfId="105" applyFont="1" applyFill="1" applyBorder="1" applyAlignment="1">
      <alignment horizontal="right" vertical="center"/>
    </xf>
    <xf numFmtId="14" fontId="37" fillId="0" borderId="10" xfId="1" applyNumberFormat="1" applyFont="1" applyBorder="1" applyAlignment="1">
      <alignment horizontal="left" vertical="center" wrapText="1"/>
    </xf>
    <xf numFmtId="0" fontId="37" fillId="0" borderId="10" xfId="1" applyFont="1" applyBorder="1" applyAlignment="1">
      <alignment horizontal="left" vertical="center"/>
    </xf>
    <xf numFmtId="177" fontId="37" fillId="0" borderId="10" xfId="105" applyNumberFormat="1" applyFont="1" applyBorder="1" applyAlignment="1">
      <alignment horizontal="center" vertical="center"/>
    </xf>
    <xf numFmtId="14" fontId="37" fillId="0" borderId="10" xfId="101" applyNumberFormat="1" applyFont="1" applyBorder="1" applyAlignment="1">
      <alignment horizontal="left" vertical="center"/>
    </xf>
    <xf numFmtId="38" fontId="37" fillId="0" borderId="10" xfId="105" applyFont="1" applyBorder="1">
      <alignment vertical="center"/>
    </xf>
    <xf numFmtId="0" fontId="37" fillId="0" borderId="10" xfId="104" applyFont="1" applyBorder="1" applyAlignment="1">
      <alignment horizontal="center" vertical="center"/>
    </xf>
    <xf numFmtId="0" fontId="37" fillId="0" borderId="10" xfId="104" applyFont="1" applyBorder="1" applyAlignment="1">
      <alignment horizontal="left" vertical="center"/>
    </xf>
    <xf numFmtId="14" fontId="37" fillId="0" borderId="10" xfId="104" applyNumberFormat="1" applyFont="1" applyBorder="1" applyAlignment="1">
      <alignment horizontal="center" vertical="center"/>
    </xf>
    <xf numFmtId="14" fontId="37" fillId="0" borderId="10" xfId="101" applyNumberFormat="1" applyFont="1" applyBorder="1" applyAlignment="1">
      <alignment horizontal="center" vertical="center"/>
    </xf>
    <xf numFmtId="177" fontId="37" fillId="40" borderId="10" xfId="101" applyNumberFormat="1" applyFont="1" applyFill="1" applyBorder="1" applyAlignment="1">
      <alignment horizontal="center" vertical="center"/>
    </xf>
    <xf numFmtId="177" fontId="37" fillId="40" borderId="10" xfId="105" applyNumberFormat="1" applyFont="1" applyFill="1" applyBorder="1" applyAlignment="1">
      <alignment horizontal="center" vertical="center"/>
    </xf>
    <xf numFmtId="38" fontId="37" fillId="40" borderId="10" xfId="105" applyFont="1" applyFill="1" applyBorder="1">
      <alignment vertical="center"/>
    </xf>
    <xf numFmtId="14" fontId="37" fillId="0" borderId="10" xfId="104" applyNumberFormat="1" applyFont="1" applyBorder="1" applyAlignment="1">
      <alignment horizontal="left" vertical="center"/>
    </xf>
    <xf numFmtId="177" fontId="37" fillId="40" borderId="10" xfId="104" applyNumberFormat="1" applyFont="1" applyFill="1" applyBorder="1" applyAlignment="1">
      <alignment horizontal="center" vertical="center"/>
    </xf>
    <xf numFmtId="178" fontId="37" fillId="0" borderId="10" xfId="1" applyNumberFormat="1" applyFont="1" applyBorder="1" applyAlignment="1">
      <alignment horizontal="center" vertical="center"/>
    </xf>
    <xf numFmtId="0" fontId="37" fillId="0" borderId="10" xfId="1" applyFont="1" applyBorder="1" applyAlignment="1">
      <alignment horizontal="center" vertical="center" wrapText="1"/>
    </xf>
    <xf numFmtId="0" fontId="37" fillId="0" borderId="10" xfId="104" applyFont="1" applyBorder="1" applyAlignment="1">
      <alignment horizontal="left" vertical="center" wrapText="1"/>
    </xf>
    <xf numFmtId="0" fontId="37" fillId="0" borderId="10" xfId="104" quotePrefix="1" applyFont="1" applyBorder="1" applyAlignment="1">
      <alignment horizontal="center" vertical="center"/>
    </xf>
    <xf numFmtId="0" fontId="42" fillId="0" borderId="10" xfId="101" applyFont="1" applyBorder="1" applyAlignment="1">
      <alignment horizontal="center" vertical="center"/>
    </xf>
    <xf numFmtId="0" fontId="44" fillId="0" borderId="10" xfId="104" applyFont="1" applyBorder="1" applyAlignment="1">
      <alignment horizontal="center" vertical="center"/>
    </xf>
    <xf numFmtId="0" fontId="44" fillId="0" borderId="10" xfId="101" applyFont="1" applyBorder="1" applyAlignment="1">
      <alignment horizontal="center" vertical="center"/>
    </xf>
    <xf numFmtId="0" fontId="44" fillId="0" borderId="10" xfId="101" applyFont="1" applyBorder="1" applyAlignment="1">
      <alignment horizontal="left" vertical="center"/>
    </xf>
    <xf numFmtId="177" fontId="44" fillId="0" borderId="10" xfId="101" applyNumberFormat="1" applyFont="1" applyBorder="1" applyAlignment="1">
      <alignment horizontal="center" vertical="center"/>
    </xf>
    <xf numFmtId="177" fontId="44" fillId="0" borderId="10" xfId="105" applyNumberFormat="1" applyFont="1" applyFill="1" applyBorder="1" applyAlignment="1">
      <alignment horizontal="center" vertical="center"/>
    </xf>
    <xf numFmtId="177" fontId="44" fillId="0" borderId="46" xfId="105" applyNumberFormat="1" applyFont="1" applyFill="1" applyBorder="1" applyAlignment="1">
      <alignment horizontal="center" vertical="center"/>
    </xf>
    <xf numFmtId="177" fontId="37" fillId="0" borderId="10" xfId="104" quotePrefix="1" applyNumberFormat="1" applyFont="1" applyBorder="1" applyAlignment="1">
      <alignment horizontal="center" vertical="center"/>
    </xf>
    <xf numFmtId="38" fontId="37" fillId="0" borderId="10" xfId="105" applyFont="1" applyBorder="1" applyAlignment="1">
      <alignment horizontal="right" vertical="center"/>
    </xf>
    <xf numFmtId="177" fontId="37" fillId="0" borderId="10" xfId="104" applyNumberFormat="1" applyFont="1" applyBorder="1" applyAlignment="1">
      <alignment horizontal="center" vertical="center" wrapText="1"/>
    </xf>
    <xf numFmtId="180" fontId="37" fillId="0" borderId="10" xfId="101" applyNumberFormat="1" applyFont="1" applyBorder="1" applyAlignment="1">
      <alignment horizontal="center" vertical="center"/>
    </xf>
    <xf numFmtId="180" fontId="37" fillId="0" borderId="10" xfId="105" applyNumberFormat="1" applyFont="1" applyFill="1" applyBorder="1" applyAlignment="1">
      <alignment horizontal="center" vertical="center"/>
    </xf>
    <xf numFmtId="180" fontId="37" fillId="0" borderId="10" xfId="104" applyNumberFormat="1" applyFont="1" applyBorder="1" applyAlignment="1">
      <alignment horizontal="center" vertical="center"/>
    </xf>
    <xf numFmtId="177" fontId="37" fillId="0" borderId="10" xfId="104" applyNumberFormat="1" applyFont="1" applyBorder="1" applyAlignment="1">
      <alignment horizontal="left" vertical="center"/>
    </xf>
    <xf numFmtId="180" fontId="37" fillId="0" borderId="10" xfId="105" applyNumberFormat="1" applyFont="1" applyBorder="1" applyAlignment="1">
      <alignment horizontal="center" vertical="center"/>
    </xf>
    <xf numFmtId="177" fontId="37" fillId="0" borderId="10" xfId="101" quotePrefix="1" applyNumberFormat="1" applyFont="1" applyBorder="1" applyAlignment="1">
      <alignment horizontal="center" vertical="center"/>
    </xf>
    <xf numFmtId="177" fontId="37" fillId="40" borderId="10" xfId="101" quotePrefix="1" applyNumberFormat="1" applyFont="1" applyFill="1" applyBorder="1" applyAlignment="1">
      <alignment horizontal="center" vertical="center"/>
    </xf>
    <xf numFmtId="14" fontId="37" fillId="0" borderId="10" xfId="104" applyNumberFormat="1" applyFont="1" applyBorder="1" applyAlignment="1">
      <alignment horizontal="left" vertical="center" wrapText="1"/>
    </xf>
    <xf numFmtId="177" fontId="37" fillId="0" borderId="0" xfId="105" applyNumberFormat="1" applyFont="1" applyBorder="1" applyAlignment="1">
      <alignment horizontal="center" vertical="center"/>
    </xf>
    <xf numFmtId="0" fontId="37" fillId="38" borderId="10" xfId="104" applyFont="1" applyFill="1" applyBorder="1" applyAlignment="1">
      <alignment horizontal="center" vertical="center"/>
    </xf>
    <xf numFmtId="0" fontId="37" fillId="38" borderId="10" xfId="104" applyFont="1" applyFill="1" applyBorder="1" applyAlignment="1">
      <alignment horizontal="left" vertical="center"/>
    </xf>
    <xf numFmtId="177" fontId="37" fillId="38" borderId="10" xfId="104" applyNumberFormat="1" applyFont="1" applyFill="1" applyBorder="1" applyAlignment="1">
      <alignment horizontal="center" vertical="center"/>
    </xf>
    <xf numFmtId="177" fontId="37" fillId="38" borderId="10" xfId="105" applyNumberFormat="1" applyFont="1" applyFill="1" applyBorder="1" applyAlignment="1">
      <alignment horizontal="center" vertical="center"/>
    </xf>
    <xf numFmtId="38" fontId="37" fillId="38" borderId="10" xfId="105" applyFont="1" applyFill="1" applyBorder="1">
      <alignment vertical="center"/>
    </xf>
    <xf numFmtId="14" fontId="37" fillId="38" borderId="10" xfId="104" applyNumberFormat="1" applyFont="1" applyFill="1" applyBorder="1" applyAlignment="1">
      <alignment horizontal="left" vertical="center"/>
    </xf>
    <xf numFmtId="0" fontId="38" fillId="40" borderId="10" xfId="104" applyFont="1" applyFill="1" applyBorder="1" applyAlignment="1">
      <alignment horizontal="center" vertical="center"/>
    </xf>
    <xf numFmtId="0" fontId="37" fillId="40" borderId="10" xfId="104" applyFont="1" applyFill="1" applyBorder="1" applyAlignment="1">
      <alignment horizontal="center" vertical="center"/>
    </xf>
    <xf numFmtId="0" fontId="37" fillId="40" borderId="10" xfId="104" applyFont="1" applyFill="1" applyBorder="1" applyAlignment="1">
      <alignment horizontal="left" vertical="center"/>
    </xf>
    <xf numFmtId="14" fontId="37" fillId="40" borderId="10" xfId="104" applyNumberFormat="1" applyFont="1" applyFill="1" applyBorder="1" applyAlignment="1">
      <alignment horizontal="left" vertical="center"/>
    </xf>
  </cellXfs>
  <cellStyles count="107">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良い" xfId="8" builtinId="26" customBuiltin="1"/>
  </cellStyles>
  <dxfs count="174">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260047</xdr:colOff>
      <xdr:row>31</xdr:row>
      <xdr:rowOff>44822</xdr:rowOff>
    </xdr:from>
    <xdr:ext cx="4370224" cy="26857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60047" y="4941793"/>
          <a:ext cx="4370224" cy="26857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FF00"/>
              </a:solidFill>
              <a:effectLst/>
            </a:rPr>
            <a:t>A36</a:t>
          </a:r>
          <a:r>
            <a:rPr lang="ja-JP" altLang="en-US" sz="1000" b="1" cap="none" spc="0">
              <a:ln w="22225">
                <a:noFill/>
                <a:prstDash val="solid"/>
              </a:ln>
              <a:solidFill>
                <a:srgbClr val="FFFF00"/>
              </a:solidFill>
              <a:effectLst/>
            </a:rPr>
            <a:t>管理表マスタのファイルの保存場所のアドレスを入れると反映される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KoujiBangoListSheet"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KoujiBangoListSheet"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1169285</xdr:colOff>
      <xdr:row>0</xdr:row>
      <xdr:rowOff>224826</xdr:rowOff>
    </xdr:from>
    <xdr:to>
      <xdr:col>19</xdr:col>
      <xdr:colOff>818595</xdr:colOff>
      <xdr:row>0</xdr:row>
      <xdr:rowOff>1437099</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20780580" y="224826"/>
          <a:ext cx="12593104" cy="1212273"/>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6000" b="1">
              <a:solidFill>
                <a:schemeClr val="accent5"/>
              </a:solidFill>
              <a:effectLst/>
              <a:latin typeface="+mn-lt"/>
              <a:ea typeface="+mn-ea"/>
              <a:cs typeface="+mn-cs"/>
            </a:rPr>
            <a:t>青字は</a:t>
          </a:r>
          <a:r>
            <a:rPr kumimoji="1" lang="en-US" altLang="ja-JP" sz="6000" b="1">
              <a:solidFill>
                <a:schemeClr val="accent5"/>
              </a:solidFill>
              <a:effectLst/>
              <a:latin typeface="+mn-lt"/>
              <a:ea typeface="+mn-ea"/>
              <a:cs typeface="+mn-cs"/>
            </a:rPr>
            <a:t>DigitalBillder</a:t>
          </a:r>
          <a:r>
            <a:rPr kumimoji="1" lang="ja-JP" altLang="ja-JP" sz="6000" b="1">
              <a:solidFill>
                <a:schemeClr val="accent5"/>
              </a:solidFill>
              <a:effectLst/>
              <a:latin typeface="+mn-lt"/>
              <a:ea typeface="+mn-ea"/>
              <a:cs typeface="+mn-cs"/>
            </a:rPr>
            <a:t>に現場登録済</a:t>
          </a:r>
          <a:endParaRPr lang="ja-JP" altLang="ja-JP" sz="6000">
            <a:solidFill>
              <a:schemeClr val="accent5"/>
            </a:solidFill>
            <a:effectLst/>
          </a:endParaRPr>
        </a:p>
        <a:p>
          <a:pPr algn="ctr"/>
          <a:endParaRPr kumimoji="1" lang="en-US" altLang="ja-JP" sz="6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6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6</xdr:col>
      <xdr:colOff>1361331</xdr:colOff>
      <xdr:row>0</xdr:row>
      <xdr:rowOff>190808</xdr:rowOff>
    </xdr:from>
    <xdr:to>
      <xdr:col>12</xdr:col>
      <xdr:colOff>1012186</xdr:colOff>
      <xdr:row>0</xdr:row>
      <xdr:rowOff>1437718</xdr:rowOff>
    </xdr:to>
    <xdr:sp macro="" textlink="">
      <xdr:nvSpPr>
        <xdr:cNvPr id="7" name="テキスト ボックス 6">
          <a:extLst>
            <a:ext uri="{FF2B5EF4-FFF2-40B4-BE49-F238E27FC236}">
              <a16:creationId xmlns:a16="http://schemas.microsoft.com/office/drawing/2014/main" id="{6897ECEE-5B8A-1E74-9C88-9C30A06832C2}"/>
            </a:ext>
          </a:extLst>
        </xdr:cNvPr>
        <xdr:cNvSpPr txBox="1"/>
      </xdr:nvSpPr>
      <xdr:spPr>
        <a:xfrm>
          <a:off x="12825349" y="190808"/>
          <a:ext cx="7798132" cy="1246910"/>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担当：入江さんで登録済！</a:t>
          </a:r>
          <a:r>
            <a:rPr kumimoji="1" lang="en-US" altLang="ja-JP" sz="2000" b="1">
              <a:solidFill>
                <a:schemeClr val="accent5"/>
              </a:solidFill>
              <a:effectLst/>
              <a:latin typeface="+mn-lt"/>
              <a:ea typeface="+mn-ea"/>
              <a:cs typeface="+mn-cs"/>
            </a:rPr>
            <a:t>03-2503-015 </a:t>
          </a: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大一倉庫㈱姫路東営業所　北宿倉庫 第</a:t>
          </a:r>
          <a:r>
            <a:rPr kumimoji="1" lang="en-US" altLang="ja-JP" sz="2000" b="1">
              <a:solidFill>
                <a:schemeClr val="accent5"/>
              </a:solidFill>
              <a:effectLst/>
              <a:latin typeface="+mn-lt"/>
              <a:ea typeface="+mn-ea"/>
              <a:cs typeface="+mn-cs"/>
            </a:rPr>
            <a:t>6</a:t>
          </a:r>
          <a:r>
            <a:rPr kumimoji="1" lang="ja-JP" altLang="en-US" sz="2000" b="1">
              <a:solidFill>
                <a:schemeClr val="accent5"/>
              </a:solidFill>
              <a:effectLst/>
              <a:latin typeface="+mn-lt"/>
              <a:ea typeface="+mn-ea"/>
              <a:cs typeface="+mn-cs"/>
            </a:rPr>
            <a:t>号倉庫新築工事 </a:t>
          </a: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37</xdr:row>
      <xdr:rowOff>14003</xdr:rowOff>
    </xdr:from>
    <xdr:to>
      <xdr:col>23</xdr:col>
      <xdr:colOff>128044</xdr:colOff>
      <xdr:row>43</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769658" y="10529603"/>
          <a:ext cx="5063115" cy="1293842"/>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38</xdr:row>
      <xdr:rowOff>107674</xdr:rowOff>
    </xdr:from>
    <xdr:to>
      <xdr:col>23</xdr:col>
      <xdr:colOff>123482</xdr:colOff>
      <xdr:row>38</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12</xdr:row>
      <xdr:rowOff>190502</xdr:rowOff>
    </xdr:from>
    <xdr:to>
      <xdr:col>34</xdr:col>
      <xdr:colOff>526675</xdr:colOff>
      <xdr:row>14</xdr:row>
      <xdr:rowOff>291355</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10320617" y="3552267"/>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1]!UpdateAllSheets" textlink="">
      <xdr:nvSpPr>
        <xdr:cNvPr id="2" name="四角形: 角度付き 1">
          <a:extLst>
            <a:ext uri="{FF2B5EF4-FFF2-40B4-BE49-F238E27FC236}">
              <a16:creationId xmlns:a16="http://schemas.microsoft.com/office/drawing/2014/main" id="{B64607F8-E1A6-4A21-92BE-7952DB4FAD28}"/>
            </a:ext>
          </a:extLst>
        </xdr:cNvPr>
        <xdr:cNvSpPr/>
      </xdr:nvSpPr>
      <xdr:spPr>
        <a:xfrm>
          <a:off x="172974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Users\n-machida\Desktop\&#24037;&#20107;&#30058;&#21495;&#20837;&#21147;&#34920;.xlsm" TargetMode="External"/><Relationship Id="rId1" Type="http://schemas.openxmlformats.org/officeDocument/2006/relationships/externalLinkPath" Target="&#24037;&#20107;&#30058;&#21495;&#20837;&#21147;&#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入力フォーム"/>
      <sheetName val="工事番号一覧"/>
      <sheetName val="依頼履歴"/>
      <sheetName val="請求書提出依頼書"/>
    </sheetNames>
    <definedNames>
      <definedName name="UpdateAllSheets"/>
    </definedNames>
    <sheetDataSet>
      <sheetData sheetId="0"/>
      <sheetData sheetId="1"/>
      <sheetData sheetId="2"/>
      <sheetData sheetId="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tabSelected="1" view="pageBreakPreview" zoomScale="129" zoomScaleNormal="129" zoomScaleSheetLayoutView="129" workbookViewId="0">
      <selection activeCell="A40" sqref="A40"/>
    </sheetView>
  </sheetViews>
  <sheetFormatPr defaultRowHeight="12"/>
  <cols>
    <col min="1" max="1" width="13.33203125" customWidth="1"/>
    <col min="7" max="7" width="13.33203125" customWidth="1"/>
  </cols>
  <sheetData>
    <row r="4" spans="1:1" ht="15" customHeight="1">
      <c r="A4" s="32"/>
    </row>
    <row r="35" spans="1:1" ht="24" customHeight="1"/>
    <row r="36" spans="1:1" s="34" customFormat="1" ht="12" hidden="1" customHeight="1">
      <c r="A36" s="33" t="s">
        <v>124</v>
      </c>
    </row>
  </sheetData>
  <sheetProtection algorithmName="SHA-512" hashValue="lxMZv3Y8xvhf5Nk2wyiP9ZljiZq4Q/jhQ9xvK2gtWOD09VCHA62XiSoY6QiZpPz/XWchahP9API1lXbCXo6P/A==" saltValue="TFWadtHXfqMQHZIwhzz/IQ==" spinCount="100000" sheet="1" objects="1" scenarios="1"/>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146"/>
  <sheetViews>
    <sheetView view="pageBreakPreview" zoomScale="56" zoomScaleNormal="70" zoomScaleSheetLayoutView="56" workbookViewId="0">
      <pane xSplit="5" ySplit="2" topLeftCell="H56" activePane="bottomRight" state="frozen"/>
      <selection pane="topRight" activeCell="F1" sqref="F1"/>
      <selection pane="bottomLeft" activeCell="A3" sqref="A3"/>
      <selection pane="bottomRight" activeCell="D140" sqref="D140:E140"/>
    </sheetView>
  </sheetViews>
  <sheetFormatPr defaultColWidth="9.109375" defaultRowHeight="16.2"/>
  <cols>
    <col min="1" max="2" width="10.109375" customWidth="1"/>
    <col min="3" max="3" width="13.6640625" customWidth="1"/>
    <col min="4" max="4" width="21.6640625" customWidth="1"/>
    <col min="5" max="5" width="67.88671875"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37"/>
  </cols>
  <sheetData>
    <row r="1" spans="1:24" ht="132.75" customHeight="1">
      <c r="A1" s="52"/>
      <c r="B1" s="53"/>
      <c r="C1" s="53"/>
      <c r="D1" s="53"/>
      <c r="E1" s="53"/>
      <c r="F1" s="53"/>
      <c r="G1" s="53"/>
      <c r="H1" s="53"/>
      <c r="I1" s="53"/>
      <c r="J1" s="53"/>
      <c r="K1" s="53"/>
      <c r="L1" s="53"/>
      <c r="M1" s="54"/>
      <c r="N1" s="55"/>
      <c r="O1" s="56"/>
      <c r="P1" s="56"/>
      <c r="Q1" s="56"/>
      <c r="R1" s="56"/>
      <c r="S1" s="56"/>
      <c r="T1" s="56"/>
      <c r="U1" s="56"/>
      <c r="V1" s="56"/>
      <c r="W1" s="56"/>
      <c r="X1" s="57"/>
    </row>
    <row r="2" spans="1:24" ht="70.5" customHeight="1">
      <c r="A2" s="38" t="s">
        <v>32</v>
      </c>
      <c r="B2" s="38" t="s">
        <v>33</v>
      </c>
      <c r="C2" s="38" t="s">
        <v>34</v>
      </c>
      <c r="D2" s="38" t="s">
        <v>35</v>
      </c>
      <c r="E2" s="38" t="s">
        <v>36</v>
      </c>
      <c r="F2" s="38" t="s">
        <v>37</v>
      </c>
      <c r="G2" s="39" t="s">
        <v>38</v>
      </c>
      <c r="H2" s="39" t="s">
        <v>39</v>
      </c>
      <c r="I2" s="39" t="s">
        <v>40</v>
      </c>
      <c r="J2" s="39" t="s">
        <v>41</v>
      </c>
      <c r="K2" s="40" t="s">
        <v>42</v>
      </c>
      <c r="L2" s="41" t="s">
        <v>43</v>
      </c>
      <c r="M2" s="42" t="s">
        <v>44</v>
      </c>
      <c r="N2" s="43" t="s">
        <v>45</v>
      </c>
      <c r="O2" s="44" t="s">
        <v>46</v>
      </c>
      <c r="P2" s="44" t="s">
        <v>47</v>
      </c>
      <c r="Q2" s="44" t="s">
        <v>48</v>
      </c>
      <c r="R2" s="35" t="s">
        <v>49</v>
      </c>
      <c r="S2" s="36" t="s">
        <v>50</v>
      </c>
      <c r="T2" s="36" t="s">
        <v>51</v>
      </c>
      <c r="U2" s="36" t="s">
        <v>52</v>
      </c>
      <c r="V2" s="36" t="s">
        <v>53</v>
      </c>
      <c r="W2" s="36" t="s">
        <v>54</v>
      </c>
      <c r="X2" s="36" t="s">
        <v>55</v>
      </c>
    </row>
    <row r="3" spans="1:24" s="46" customFormat="1" ht="27" customHeight="1">
      <c r="A3" s="48">
        <v>2025</v>
      </c>
      <c r="B3" s="48">
        <v>1</v>
      </c>
      <c r="C3" s="134" t="s">
        <v>138</v>
      </c>
      <c r="D3" s="135" t="s">
        <v>139</v>
      </c>
      <c r="E3" s="136" t="s">
        <v>140</v>
      </c>
      <c r="F3" s="136" t="s">
        <v>141</v>
      </c>
      <c r="G3" s="137">
        <v>45650</v>
      </c>
      <c r="H3" s="138">
        <v>45900</v>
      </c>
      <c r="I3" s="138" t="s">
        <v>360</v>
      </c>
      <c r="J3" s="138">
        <v>45650</v>
      </c>
      <c r="K3" s="139">
        <v>460000000</v>
      </c>
      <c r="L3" s="134" t="s">
        <v>360</v>
      </c>
      <c r="M3" s="136"/>
      <c r="N3" s="137" t="s">
        <v>61</v>
      </c>
      <c r="O3" s="140"/>
      <c r="P3" s="140"/>
      <c r="Q3" s="140"/>
      <c r="R3" s="140"/>
      <c r="S3" s="140"/>
      <c r="T3" s="140"/>
      <c r="U3" s="140"/>
      <c r="V3" s="140"/>
      <c r="W3" s="140"/>
      <c r="X3" s="140"/>
    </row>
    <row r="4" spans="1:24" ht="27" customHeight="1">
      <c r="A4" s="48">
        <v>2025</v>
      </c>
      <c r="B4" s="48">
        <v>2</v>
      </c>
      <c r="C4" s="134" t="s">
        <v>138</v>
      </c>
      <c r="D4" s="135" t="s">
        <v>142</v>
      </c>
      <c r="E4" s="136" t="s">
        <v>143</v>
      </c>
      <c r="F4" s="141" t="s">
        <v>144</v>
      </c>
      <c r="G4" s="142">
        <v>45597</v>
      </c>
      <c r="H4" s="142">
        <v>45898</v>
      </c>
      <c r="I4" s="142" t="s">
        <v>360</v>
      </c>
      <c r="J4" s="142">
        <v>45588</v>
      </c>
      <c r="K4" s="143">
        <v>376000000</v>
      </c>
      <c r="L4" s="134" t="s">
        <v>360</v>
      </c>
      <c r="M4" s="144"/>
      <c r="N4" s="137" t="s">
        <v>61</v>
      </c>
      <c r="O4" s="140"/>
      <c r="P4" s="140"/>
      <c r="Q4" s="140"/>
      <c r="R4" s="140"/>
      <c r="S4" s="140"/>
      <c r="T4" s="140"/>
      <c r="U4" s="140"/>
      <c r="V4" s="140"/>
      <c r="W4" s="140"/>
      <c r="X4" s="140"/>
    </row>
    <row r="5" spans="1:24" s="46" customFormat="1" ht="27" customHeight="1">
      <c r="A5" s="48">
        <v>2025</v>
      </c>
      <c r="B5" s="48">
        <v>3</v>
      </c>
      <c r="C5" s="134" t="s">
        <v>138</v>
      </c>
      <c r="D5" s="135" t="s">
        <v>145</v>
      </c>
      <c r="E5" s="136" t="s">
        <v>146</v>
      </c>
      <c r="F5" s="136" t="s">
        <v>147</v>
      </c>
      <c r="G5" s="137">
        <v>45809</v>
      </c>
      <c r="H5" s="138">
        <v>46022</v>
      </c>
      <c r="I5" s="138" t="s">
        <v>360</v>
      </c>
      <c r="J5" s="138">
        <v>45383</v>
      </c>
      <c r="K5" s="139">
        <v>383000000</v>
      </c>
      <c r="L5" s="134" t="s">
        <v>360</v>
      </c>
      <c r="M5" s="136"/>
      <c r="N5" s="137" t="s">
        <v>61</v>
      </c>
      <c r="O5" s="140"/>
      <c r="P5" s="140"/>
      <c r="Q5" s="140"/>
      <c r="R5" s="140"/>
      <c r="S5" s="140"/>
      <c r="T5" s="140"/>
      <c r="U5" s="140"/>
      <c r="V5" s="140"/>
      <c r="W5" s="140"/>
      <c r="X5" s="140"/>
    </row>
    <row r="6" spans="1:24" ht="27" customHeight="1">
      <c r="A6" s="48">
        <v>2025</v>
      </c>
      <c r="B6" s="48">
        <v>4</v>
      </c>
      <c r="C6" s="134" t="s">
        <v>138</v>
      </c>
      <c r="D6" s="135" t="s">
        <v>145</v>
      </c>
      <c r="E6" s="145" t="s">
        <v>148</v>
      </c>
      <c r="F6" s="145" t="s">
        <v>147</v>
      </c>
      <c r="G6" s="142">
        <v>45946</v>
      </c>
      <c r="H6" s="142">
        <v>46006</v>
      </c>
      <c r="I6" s="142" t="s">
        <v>360</v>
      </c>
      <c r="J6" s="138">
        <v>45383</v>
      </c>
      <c r="K6" s="143">
        <v>32100000</v>
      </c>
      <c r="L6" s="134" t="s">
        <v>360</v>
      </c>
      <c r="M6" s="136"/>
      <c r="N6" s="142" t="s">
        <v>61</v>
      </c>
      <c r="O6" s="140"/>
      <c r="P6" s="140"/>
      <c r="Q6" s="140"/>
      <c r="R6" s="140"/>
      <c r="S6" s="140"/>
      <c r="T6" s="140"/>
      <c r="U6" s="140"/>
      <c r="V6" s="140"/>
      <c r="W6" s="140"/>
      <c r="X6" s="140"/>
    </row>
    <row r="7" spans="1:24" s="47" customFormat="1" ht="27" customHeight="1">
      <c r="A7" s="48">
        <v>2025</v>
      </c>
      <c r="B7" s="48">
        <v>5</v>
      </c>
      <c r="C7" s="134" t="s">
        <v>138</v>
      </c>
      <c r="D7" s="134" t="s">
        <v>149</v>
      </c>
      <c r="E7" s="136" t="s">
        <v>361</v>
      </c>
      <c r="F7" s="136" t="s">
        <v>150</v>
      </c>
      <c r="G7" s="137">
        <v>45555</v>
      </c>
      <c r="H7" s="146">
        <v>45945</v>
      </c>
      <c r="I7" s="146" t="s">
        <v>360</v>
      </c>
      <c r="J7" s="146">
        <v>45555</v>
      </c>
      <c r="K7" s="139">
        <v>600000</v>
      </c>
      <c r="L7" s="134" t="s">
        <v>61</v>
      </c>
      <c r="M7" s="147"/>
      <c r="N7" s="142" t="s">
        <v>61</v>
      </c>
      <c r="O7" s="140"/>
      <c r="P7" s="140"/>
      <c r="Q7" s="140"/>
      <c r="R7" s="140"/>
      <c r="S7" s="140"/>
      <c r="T7" s="140"/>
      <c r="U7" s="140"/>
      <c r="V7" s="140"/>
      <c r="W7" s="140"/>
      <c r="X7" s="140"/>
    </row>
    <row r="8" spans="1:24" ht="27" customHeight="1">
      <c r="A8" s="48">
        <v>2025</v>
      </c>
      <c r="B8" s="48">
        <v>6</v>
      </c>
      <c r="C8" s="134" t="s">
        <v>138</v>
      </c>
      <c r="D8" s="134" t="s">
        <v>151</v>
      </c>
      <c r="E8" s="136" t="s">
        <v>152</v>
      </c>
      <c r="F8" s="141" t="s">
        <v>153</v>
      </c>
      <c r="G8" s="137">
        <v>45689</v>
      </c>
      <c r="H8" s="146">
        <v>45930</v>
      </c>
      <c r="I8" s="146" t="s">
        <v>360</v>
      </c>
      <c r="J8" s="146">
        <v>45566</v>
      </c>
      <c r="K8" s="148">
        <v>116000000</v>
      </c>
      <c r="L8" s="134" t="s">
        <v>360</v>
      </c>
      <c r="M8" s="147"/>
      <c r="N8" s="142" t="s">
        <v>61</v>
      </c>
      <c r="O8" s="140"/>
      <c r="P8" s="140"/>
      <c r="Q8" s="140"/>
      <c r="R8" s="140"/>
      <c r="S8" s="140"/>
      <c r="T8" s="140"/>
      <c r="U8" s="140"/>
      <c r="V8" s="140"/>
      <c r="W8" s="140"/>
      <c r="X8" s="140"/>
    </row>
    <row r="9" spans="1:24" ht="27" customHeight="1">
      <c r="A9" s="48">
        <v>2025</v>
      </c>
      <c r="B9" s="48">
        <v>7</v>
      </c>
      <c r="C9" s="134" t="s">
        <v>138</v>
      </c>
      <c r="D9" s="134" t="s">
        <v>154</v>
      </c>
      <c r="E9" s="136" t="s">
        <v>155</v>
      </c>
      <c r="F9" s="136" t="s">
        <v>156</v>
      </c>
      <c r="G9" s="137">
        <v>45708</v>
      </c>
      <c r="H9" s="146">
        <v>45900</v>
      </c>
      <c r="I9" s="146" t="s">
        <v>360</v>
      </c>
      <c r="J9" s="146">
        <v>45686</v>
      </c>
      <c r="K9" s="148">
        <v>116060000</v>
      </c>
      <c r="L9" s="134" t="s">
        <v>360</v>
      </c>
      <c r="M9" s="147"/>
      <c r="N9" s="137" t="s">
        <v>61</v>
      </c>
      <c r="O9" s="140"/>
      <c r="P9" s="140"/>
      <c r="Q9" s="140"/>
      <c r="R9" s="140"/>
      <c r="S9" s="140"/>
      <c r="T9" s="140"/>
      <c r="U9" s="140"/>
      <c r="V9" s="140"/>
      <c r="W9" s="140"/>
      <c r="X9" s="140"/>
    </row>
    <row r="10" spans="1:24" ht="27" customHeight="1">
      <c r="A10" s="49">
        <v>2025</v>
      </c>
      <c r="B10" s="48">
        <v>8</v>
      </c>
      <c r="C10" s="149" t="s">
        <v>138</v>
      </c>
      <c r="D10" s="149" t="s">
        <v>157</v>
      </c>
      <c r="E10" s="150" t="s">
        <v>158</v>
      </c>
      <c r="F10" s="150" t="s">
        <v>159</v>
      </c>
      <c r="G10" s="140">
        <v>45704</v>
      </c>
      <c r="H10" s="146">
        <v>45823</v>
      </c>
      <c r="I10" s="146" t="s">
        <v>360</v>
      </c>
      <c r="J10" s="146">
        <v>45687</v>
      </c>
      <c r="K10" s="148">
        <v>38200000</v>
      </c>
      <c r="L10" s="149" t="s">
        <v>61</v>
      </c>
      <c r="M10" s="151"/>
      <c r="N10" s="140" t="s">
        <v>168</v>
      </c>
      <c r="O10" s="140"/>
      <c r="P10" s="140"/>
      <c r="Q10" s="140"/>
      <c r="R10" s="140"/>
      <c r="S10" s="140"/>
      <c r="T10" s="140"/>
      <c r="U10" s="140"/>
      <c r="V10" s="140"/>
      <c r="W10" s="140"/>
      <c r="X10" s="140"/>
    </row>
    <row r="11" spans="1:24" ht="65.25" customHeight="1">
      <c r="A11" s="48">
        <v>2025</v>
      </c>
      <c r="B11" s="48">
        <v>9</v>
      </c>
      <c r="C11" s="134" t="s">
        <v>138</v>
      </c>
      <c r="D11" s="134" t="s">
        <v>160</v>
      </c>
      <c r="E11" s="136" t="s">
        <v>161</v>
      </c>
      <c r="F11" s="136" t="s">
        <v>162</v>
      </c>
      <c r="G11" s="137">
        <v>45839</v>
      </c>
      <c r="H11" s="146">
        <v>45869</v>
      </c>
      <c r="I11" s="146" t="s">
        <v>360</v>
      </c>
      <c r="J11" s="146">
        <v>45748</v>
      </c>
      <c r="K11" s="148">
        <v>8350000</v>
      </c>
      <c r="L11" s="134" t="s">
        <v>61</v>
      </c>
      <c r="M11" s="152"/>
      <c r="N11" s="137">
        <v>45874</v>
      </c>
      <c r="O11" s="140" t="s">
        <v>345</v>
      </c>
      <c r="P11" s="140" t="s">
        <v>63</v>
      </c>
      <c r="Q11" s="140">
        <v>45874</v>
      </c>
      <c r="R11" s="140"/>
      <c r="S11" s="140" t="s">
        <v>362</v>
      </c>
      <c r="T11" s="140" t="s">
        <v>316</v>
      </c>
      <c r="U11" s="140" t="s">
        <v>363</v>
      </c>
      <c r="V11" s="140" t="s">
        <v>364</v>
      </c>
      <c r="W11" s="140" t="s">
        <v>315</v>
      </c>
      <c r="X11" s="140" t="s">
        <v>365</v>
      </c>
    </row>
    <row r="12" spans="1:24" s="46" customFormat="1" ht="27" customHeight="1">
      <c r="A12" s="48">
        <v>2025</v>
      </c>
      <c r="B12" s="48">
        <v>10</v>
      </c>
      <c r="C12" s="134" t="s">
        <v>138</v>
      </c>
      <c r="D12" s="134" t="s">
        <v>163</v>
      </c>
      <c r="E12" s="136" t="s">
        <v>164</v>
      </c>
      <c r="F12" s="136" t="s">
        <v>165</v>
      </c>
      <c r="G12" s="153"/>
      <c r="H12" s="154"/>
      <c r="I12" s="154"/>
      <c r="J12" s="154"/>
      <c r="K12" s="155"/>
      <c r="L12" s="134" t="s">
        <v>360</v>
      </c>
      <c r="M12" s="152"/>
      <c r="N12" s="140" t="s">
        <v>168</v>
      </c>
      <c r="O12" s="140"/>
      <c r="P12" s="140"/>
      <c r="Q12" s="140"/>
      <c r="R12" s="140"/>
      <c r="S12" s="140"/>
      <c r="T12" s="140"/>
      <c r="U12" s="140"/>
      <c r="V12" s="140"/>
      <c r="W12" s="140"/>
      <c r="X12" s="140"/>
    </row>
    <row r="13" spans="1:24" ht="65.25" customHeight="1">
      <c r="A13" s="49">
        <v>2025</v>
      </c>
      <c r="B13" s="48">
        <v>11</v>
      </c>
      <c r="C13" s="149" t="s">
        <v>138</v>
      </c>
      <c r="D13" s="149" t="s">
        <v>166</v>
      </c>
      <c r="E13" s="150" t="s">
        <v>167</v>
      </c>
      <c r="F13" s="150" t="s">
        <v>62</v>
      </c>
      <c r="G13" s="140">
        <v>45809</v>
      </c>
      <c r="H13" s="138">
        <v>45841</v>
      </c>
      <c r="I13" s="138"/>
      <c r="J13" s="138"/>
      <c r="K13" s="139">
        <v>42600000</v>
      </c>
      <c r="L13" s="149" t="s">
        <v>168</v>
      </c>
      <c r="M13" s="156"/>
      <c r="N13" s="140">
        <v>45874</v>
      </c>
      <c r="O13" s="140" t="s">
        <v>267</v>
      </c>
      <c r="P13" s="140" t="s">
        <v>268</v>
      </c>
      <c r="Q13" s="140">
        <v>45874</v>
      </c>
      <c r="R13" s="140"/>
      <c r="S13" s="140" t="s">
        <v>269</v>
      </c>
      <c r="T13" s="140" t="s">
        <v>270</v>
      </c>
      <c r="U13" s="140" t="s">
        <v>271</v>
      </c>
      <c r="V13" s="140" t="s">
        <v>272</v>
      </c>
      <c r="W13" s="140" t="s">
        <v>273</v>
      </c>
      <c r="X13" s="140" t="s">
        <v>365</v>
      </c>
    </row>
    <row r="14" spans="1:24" ht="27" customHeight="1">
      <c r="A14" s="49">
        <v>2025</v>
      </c>
      <c r="B14" s="48">
        <v>12</v>
      </c>
      <c r="C14" s="149" t="s">
        <v>138</v>
      </c>
      <c r="D14" s="149" t="s">
        <v>169</v>
      </c>
      <c r="E14" s="150" t="s">
        <v>170</v>
      </c>
      <c r="F14" s="150" t="s">
        <v>171</v>
      </c>
      <c r="G14" s="157"/>
      <c r="H14" s="154"/>
      <c r="I14" s="154"/>
      <c r="J14" s="154"/>
      <c r="K14" s="155"/>
      <c r="L14" s="149" t="s">
        <v>168</v>
      </c>
      <c r="M14" s="156"/>
      <c r="N14" s="140" t="s">
        <v>61</v>
      </c>
      <c r="O14" s="140"/>
      <c r="P14" s="140"/>
      <c r="Q14" s="140"/>
      <c r="R14" s="140"/>
      <c r="S14" s="140"/>
      <c r="T14" s="140"/>
      <c r="U14" s="140"/>
      <c r="V14" s="140"/>
      <c r="W14" s="140"/>
      <c r="X14" s="140"/>
    </row>
    <row r="15" spans="1:24" ht="27" customHeight="1">
      <c r="A15" s="49">
        <v>2025</v>
      </c>
      <c r="B15" s="48">
        <v>13</v>
      </c>
      <c r="C15" s="149" t="s">
        <v>138</v>
      </c>
      <c r="D15" s="149" t="s">
        <v>172</v>
      </c>
      <c r="E15" s="150" t="s">
        <v>173</v>
      </c>
      <c r="F15" s="150" t="s">
        <v>156</v>
      </c>
      <c r="G15" s="157"/>
      <c r="H15" s="154"/>
      <c r="I15" s="154"/>
      <c r="J15" s="154"/>
      <c r="K15" s="155"/>
      <c r="L15" s="149" t="s">
        <v>168</v>
      </c>
      <c r="M15" s="156"/>
      <c r="N15" s="140" t="s">
        <v>61</v>
      </c>
      <c r="O15" s="140"/>
      <c r="P15" s="140"/>
      <c r="Q15" s="140"/>
      <c r="R15" s="140"/>
      <c r="S15" s="140"/>
      <c r="T15" s="140"/>
      <c r="U15" s="140"/>
      <c r="V15" s="140"/>
      <c r="W15" s="140"/>
      <c r="X15" s="140"/>
    </row>
    <row r="16" spans="1:24" ht="27" customHeight="1">
      <c r="A16" s="48">
        <v>2025</v>
      </c>
      <c r="B16" s="48">
        <v>14</v>
      </c>
      <c r="C16" s="134" t="s">
        <v>174</v>
      </c>
      <c r="D16" s="134" t="s">
        <v>175</v>
      </c>
      <c r="E16" s="136" t="s">
        <v>176</v>
      </c>
      <c r="F16" s="136" t="s">
        <v>177</v>
      </c>
      <c r="G16" s="137">
        <v>45778</v>
      </c>
      <c r="H16" s="146">
        <v>45961</v>
      </c>
      <c r="I16" s="154"/>
      <c r="J16" s="154"/>
      <c r="K16" s="155"/>
      <c r="L16" s="158" t="s">
        <v>61</v>
      </c>
      <c r="M16" s="147"/>
      <c r="N16" s="137" t="s">
        <v>168</v>
      </c>
      <c r="O16" s="140"/>
      <c r="P16" s="140"/>
      <c r="Q16" s="140"/>
      <c r="R16" s="140"/>
      <c r="S16" s="140"/>
      <c r="T16" s="140"/>
      <c r="U16" s="140"/>
      <c r="V16" s="140"/>
      <c r="W16" s="140"/>
      <c r="X16" s="140"/>
    </row>
    <row r="17" spans="1:24" ht="27" customHeight="1">
      <c r="A17" s="49">
        <v>2025</v>
      </c>
      <c r="B17" s="48">
        <v>15</v>
      </c>
      <c r="C17" s="159" t="s">
        <v>366</v>
      </c>
      <c r="D17" s="149" t="s">
        <v>178</v>
      </c>
      <c r="E17" s="160" t="s">
        <v>179</v>
      </c>
      <c r="F17" s="150"/>
      <c r="G17" s="140">
        <v>45636</v>
      </c>
      <c r="H17" s="146">
        <v>45828</v>
      </c>
      <c r="I17" s="146" t="s">
        <v>360</v>
      </c>
      <c r="J17" s="146">
        <v>45723</v>
      </c>
      <c r="K17" s="148">
        <v>10000000</v>
      </c>
      <c r="L17" s="161" t="s">
        <v>61</v>
      </c>
      <c r="M17" s="156"/>
      <c r="N17" s="142" t="s">
        <v>61</v>
      </c>
      <c r="O17" s="142"/>
      <c r="P17" s="142"/>
      <c r="Q17" s="142"/>
      <c r="R17" s="142"/>
      <c r="S17" s="142"/>
      <c r="T17" s="142"/>
      <c r="U17" s="142"/>
      <c r="V17" s="142"/>
      <c r="W17" s="142"/>
      <c r="X17" s="142"/>
    </row>
    <row r="18" spans="1:24" ht="27" customHeight="1">
      <c r="A18" s="162">
        <v>2025</v>
      </c>
      <c r="B18" s="162">
        <v>16</v>
      </c>
      <c r="C18" s="163" t="s">
        <v>138</v>
      </c>
      <c r="D18" s="164" t="s">
        <v>180</v>
      </c>
      <c r="E18" s="165" t="s">
        <v>181</v>
      </c>
      <c r="F18" s="165"/>
      <c r="G18" s="166"/>
      <c r="H18" s="167"/>
      <c r="I18" s="168"/>
      <c r="J18" s="168"/>
      <c r="K18" s="134" t="s">
        <v>61</v>
      </c>
      <c r="L18" s="134" t="s">
        <v>61</v>
      </c>
      <c r="M18" s="147"/>
      <c r="N18" s="142" t="s">
        <v>61</v>
      </c>
      <c r="O18" s="142" t="s">
        <v>61</v>
      </c>
      <c r="P18" s="142" t="s">
        <v>61</v>
      </c>
      <c r="Q18" s="142" t="s">
        <v>61</v>
      </c>
      <c r="R18" s="142" t="s">
        <v>61</v>
      </c>
      <c r="S18" s="142" t="s">
        <v>61</v>
      </c>
      <c r="T18" s="142" t="s">
        <v>61</v>
      </c>
      <c r="U18" s="142" t="s">
        <v>61</v>
      </c>
      <c r="V18" s="142" t="s">
        <v>61</v>
      </c>
      <c r="W18" s="142" t="s">
        <v>61</v>
      </c>
      <c r="X18" s="140"/>
    </row>
    <row r="19" spans="1:24" ht="27" customHeight="1">
      <c r="A19" s="49">
        <v>2025</v>
      </c>
      <c r="B19" s="48">
        <v>17</v>
      </c>
      <c r="C19" s="149" t="s">
        <v>138</v>
      </c>
      <c r="D19" s="149" t="s">
        <v>182</v>
      </c>
      <c r="E19" s="150" t="s">
        <v>183</v>
      </c>
      <c r="F19" s="150" t="s">
        <v>184</v>
      </c>
      <c r="G19" s="157"/>
      <c r="H19" s="154"/>
      <c r="I19" s="154"/>
      <c r="J19" s="154"/>
      <c r="K19" s="155"/>
      <c r="L19" s="149" t="s">
        <v>360</v>
      </c>
      <c r="M19" s="156"/>
      <c r="N19" s="140" t="s">
        <v>61</v>
      </c>
      <c r="O19" s="140"/>
      <c r="P19" s="140"/>
      <c r="Q19" s="140"/>
      <c r="R19" s="140"/>
      <c r="S19" s="140"/>
      <c r="T19" s="140"/>
      <c r="U19" s="140"/>
      <c r="V19" s="140"/>
      <c r="W19" s="140"/>
      <c r="X19" s="140"/>
    </row>
    <row r="20" spans="1:24" s="46" customFormat="1" ht="27" customHeight="1">
      <c r="A20" s="49">
        <v>2025</v>
      </c>
      <c r="B20" s="48">
        <v>18</v>
      </c>
      <c r="C20" s="149" t="s">
        <v>138</v>
      </c>
      <c r="D20" s="149" t="s">
        <v>185</v>
      </c>
      <c r="E20" s="150" t="s">
        <v>367</v>
      </c>
      <c r="F20" s="150" t="s">
        <v>184</v>
      </c>
      <c r="G20" s="157"/>
      <c r="H20" s="154"/>
      <c r="I20" s="154"/>
      <c r="J20" s="154"/>
      <c r="K20" s="155"/>
      <c r="L20" s="149" t="s">
        <v>360</v>
      </c>
      <c r="M20" s="156"/>
      <c r="N20" s="140" t="s">
        <v>61</v>
      </c>
      <c r="O20" s="140"/>
      <c r="P20" s="140"/>
      <c r="Q20" s="140"/>
      <c r="R20" s="140"/>
      <c r="S20" s="140"/>
      <c r="T20" s="140"/>
      <c r="U20" s="140"/>
      <c r="V20" s="140"/>
      <c r="W20" s="140"/>
      <c r="X20" s="140"/>
    </row>
    <row r="21" spans="1:24" ht="27" customHeight="1">
      <c r="A21" s="49">
        <v>2025</v>
      </c>
      <c r="B21" s="48">
        <v>19</v>
      </c>
      <c r="C21" s="149" t="s">
        <v>138</v>
      </c>
      <c r="D21" s="149" t="s">
        <v>186</v>
      </c>
      <c r="E21" s="150" t="s">
        <v>187</v>
      </c>
      <c r="F21" s="150" t="s">
        <v>188</v>
      </c>
      <c r="G21" s="157"/>
      <c r="H21" s="154"/>
      <c r="I21" s="154"/>
      <c r="J21" s="154"/>
      <c r="K21" s="155"/>
      <c r="L21" s="149" t="s">
        <v>360</v>
      </c>
      <c r="M21" s="156"/>
      <c r="N21" s="140" t="s">
        <v>61</v>
      </c>
      <c r="O21" s="140"/>
      <c r="P21" s="140"/>
      <c r="Q21" s="140"/>
      <c r="R21" s="140"/>
      <c r="S21" s="140"/>
      <c r="T21" s="140"/>
      <c r="U21" s="140"/>
      <c r="V21" s="140"/>
      <c r="W21" s="140"/>
      <c r="X21" s="140"/>
    </row>
    <row r="22" spans="1:24" s="46" customFormat="1" ht="27" customHeight="1">
      <c r="A22" s="49">
        <v>2025</v>
      </c>
      <c r="B22" s="48">
        <v>20</v>
      </c>
      <c r="C22" s="149" t="s">
        <v>189</v>
      </c>
      <c r="D22" s="149" t="s">
        <v>190</v>
      </c>
      <c r="E22" s="150" t="s">
        <v>191</v>
      </c>
      <c r="F22" s="150" t="s">
        <v>192</v>
      </c>
      <c r="G22" s="140">
        <v>45856</v>
      </c>
      <c r="H22" s="138">
        <v>46173</v>
      </c>
      <c r="I22" s="154"/>
      <c r="J22" s="154"/>
      <c r="K22" s="139">
        <v>605000000</v>
      </c>
      <c r="L22" s="149" t="s">
        <v>360</v>
      </c>
      <c r="M22" s="156"/>
      <c r="N22" s="140" t="s">
        <v>61</v>
      </c>
      <c r="O22" s="169"/>
      <c r="P22" s="169"/>
      <c r="Q22" s="169"/>
      <c r="R22" s="169"/>
      <c r="S22" s="169"/>
      <c r="T22" s="169"/>
      <c r="U22" s="169"/>
      <c r="V22" s="169"/>
      <c r="W22" s="169"/>
      <c r="X22" s="169"/>
    </row>
    <row r="23" spans="1:24" s="46" customFormat="1" ht="27" customHeight="1">
      <c r="A23" s="48">
        <v>2025</v>
      </c>
      <c r="B23" s="48">
        <v>21</v>
      </c>
      <c r="C23" s="134" t="s">
        <v>189</v>
      </c>
      <c r="D23" s="134" t="s">
        <v>193</v>
      </c>
      <c r="E23" s="136" t="s">
        <v>194</v>
      </c>
      <c r="F23" s="136" t="s">
        <v>195</v>
      </c>
      <c r="G23" s="137">
        <v>45888</v>
      </c>
      <c r="H23" s="138">
        <v>45900</v>
      </c>
      <c r="I23" s="138" t="s">
        <v>368</v>
      </c>
      <c r="J23" s="138">
        <v>45841</v>
      </c>
      <c r="K23" s="139">
        <v>878000000</v>
      </c>
      <c r="L23" s="134" t="s">
        <v>360</v>
      </c>
      <c r="M23" s="147"/>
      <c r="N23" s="140" t="s">
        <v>61</v>
      </c>
      <c r="O23" s="140"/>
      <c r="P23" s="140"/>
      <c r="Q23" s="140"/>
      <c r="R23" s="140"/>
      <c r="S23" s="140"/>
      <c r="T23" s="140"/>
      <c r="U23" s="140"/>
      <c r="V23" s="140"/>
      <c r="W23" s="140"/>
      <c r="X23" s="140"/>
    </row>
    <row r="24" spans="1:24" ht="41.4" customHeight="1">
      <c r="A24" s="49">
        <v>2025</v>
      </c>
      <c r="B24" s="48">
        <v>22</v>
      </c>
      <c r="C24" s="149" t="s">
        <v>174</v>
      </c>
      <c r="D24" s="149" t="s">
        <v>196</v>
      </c>
      <c r="E24" s="150" t="s">
        <v>197</v>
      </c>
      <c r="F24" s="150" t="s">
        <v>198</v>
      </c>
      <c r="G24" s="140">
        <v>45838</v>
      </c>
      <c r="H24" s="146">
        <v>45991</v>
      </c>
      <c r="I24" s="138" t="s">
        <v>368</v>
      </c>
      <c r="J24" s="138">
        <v>45838</v>
      </c>
      <c r="K24" s="170">
        <v>10000000</v>
      </c>
      <c r="L24" s="149" t="s">
        <v>61</v>
      </c>
      <c r="M24" s="156"/>
      <c r="N24" s="157">
        <v>45889</v>
      </c>
      <c r="O24" s="140" t="s">
        <v>274</v>
      </c>
      <c r="P24" s="140" t="s">
        <v>268</v>
      </c>
      <c r="Q24" s="140">
        <v>45887</v>
      </c>
      <c r="R24" s="140"/>
      <c r="S24" s="140" t="s">
        <v>275</v>
      </c>
      <c r="T24" s="140" t="s">
        <v>276</v>
      </c>
      <c r="U24" s="140" t="s">
        <v>277</v>
      </c>
      <c r="V24" s="140" t="s">
        <v>277</v>
      </c>
      <c r="W24" s="140" t="s">
        <v>275</v>
      </c>
      <c r="X24" s="171" t="s">
        <v>369</v>
      </c>
    </row>
    <row r="25" spans="1:24" s="46" customFormat="1" ht="27" customHeight="1">
      <c r="A25" s="49">
        <v>2025</v>
      </c>
      <c r="B25" s="48">
        <v>23</v>
      </c>
      <c r="C25" s="149" t="s">
        <v>174</v>
      </c>
      <c r="D25" s="149" t="s">
        <v>199</v>
      </c>
      <c r="E25" s="150" t="s">
        <v>370</v>
      </c>
      <c r="F25" s="150" t="s">
        <v>200</v>
      </c>
      <c r="G25" s="140">
        <v>45839</v>
      </c>
      <c r="H25" s="138">
        <v>46265</v>
      </c>
      <c r="I25" s="138" t="s">
        <v>360</v>
      </c>
      <c r="J25" s="138">
        <v>45834</v>
      </c>
      <c r="K25" s="170">
        <f>276000000+1210000</f>
        <v>277210000</v>
      </c>
      <c r="L25" s="149" t="s">
        <v>61</v>
      </c>
      <c r="M25" s="156" t="s">
        <v>371</v>
      </c>
      <c r="N25" s="157"/>
      <c r="O25" s="140"/>
      <c r="P25" s="140"/>
      <c r="Q25" s="140"/>
      <c r="R25" s="140"/>
      <c r="S25" s="140"/>
      <c r="T25" s="140"/>
      <c r="U25" s="140"/>
      <c r="V25" s="140"/>
      <c r="W25" s="140"/>
      <c r="X25" s="140"/>
    </row>
    <row r="26" spans="1:24" ht="27" customHeight="1">
      <c r="A26" s="48">
        <v>2025</v>
      </c>
      <c r="B26" s="48">
        <v>24</v>
      </c>
      <c r="C26" s="134" t="s">
        <v>174</v>
      </c>
      <c r="D26" s="134" t="s">
        <v>201</v>
      </c>
      <c r="E26" s="136" t="s">
        <v>202</v>
      </c>
      <c r="F26" s="136" t="s">
        <v>203</v>
      </c>
      <c r="G26" s="172">
        <v>45845</v>
      </c>
      <c r="H26" s="173">
        <v>45852</v>
      </c>
      <c r="I26" s="146" t="s">
        <v>65</v>
      </c>
      <c r="J26" s="146" t="s">
        <v>65</v>
      </c>
      <c r="K26" s="148">
        <v>756000</v>
      </c>
      <c r="L26" s="134" t="s">
        <v>61</v>
      </c>
      <c r="M26" s="147"/>
      <c r="N26" s="137">
        <v>45862</v>
      </c>
      <c r="O26" s="140" t="s">
        <v>66</v>
      </c>
      <c r="P26" s="140" t="s">
        <v>63</v>
      </c>
      <c r="Q26" s="174">
        <v>45862</v>
      </c>
      <c r="R26" s="174">
        <v>45852</v>
      </c>
      <c r="S26" s="175" t="s">
        <v>203</v>
      </c>
      <c r="T26" s="140" t="s">
        <v>278</v>
      </c>
      <c r="U26" s="175" t="s">
        <v>67</v>
      </c>
      <c r="V26" s="140" t="s">
        <v>68</v>
      </c>
      <c r="W26" s="140" t="s">
        <v>64</v>
      </c>
      <c r="X26" s="140"/>
    </row>
    <row r="27" spans="1:24" ht="27" customHeight="1">
      <c r="A27" s="49">
        <v>2025</v>
      </c>
      <c r="B27" s="48">
        <v>25</v>
      </c>
      <c r="C27" s="149" t="s">
        <v>204</v>
      </c>
      <c r="D27" s="149" t="s">
        <v>205</v>
      </c>
      <c r="E27" s="150" t="s">
        <v>206</v>
      </c>
      <c r="F27" s="150" t="s">
        <v>207</v>
      </c>
      <c r="G27" s="174">
        <v>45813</v>
      </c>
      <c r="H27" s="176">
        <v>45813</v>
      </c>
      <c r="I27" s="146" t="s">
        <v>65</v>
      </c>
      <c r="J27" s="146" t="s">
        <v>65</v>
      </c>
      <c r="K27" s="148">
        <v>37200</v>
      </c>
      <c r="L27" s="158" t="s">
        <v>168</v>
      </c>
      <c r="M27" s="156"/>
      <c r="N27" s="140">
        <v>45849</v>
      </c>
      <c r="O27" s="140" t="s">
        <v>274</v>
      </c>
      <c r="P27" s="140" t="s">
        <v>63</v>
      </c>
      <c r="Q27" s="174">
        <v>45849</v>
      </c>
      <c r="R27" s="174">
        <v>45841</v>
      </c>
      <c r="S27" s="175" t="s">
        <v>279</v>
      </c>
      <c r="T27" s="140" t="s">
        <v>280</v>
      </c>
      <c r="U27" s="175" t="s">
        <v>281</v>
      </c>
      <c r="V27" s="140" t="s">
        <v>282</v>
      </c>
      <c r="W27" s="140" t="s">
        <v>283</v>
      </c>
      <c r="X27" s="140"/>
    </row>
    <row r="28" spans="1:24" s="46" customFormat="1" ht="27" customHeight="1">
      <c r="A28" s="48">
        <v>2025</v>
      </c>
      <c r="B28" s="48">
        <v>26</v>
      </c>
      <c r="C28" s="134" t="s">
        <v>208</v>
      </c>
      <c r="D28" s="134" t="s">
        <v>209</v>
      </c>
      <c r="E28" s="136" t="s">
        <v>210</v>
      </c>
      <c r="F28" s="134" t="s">
        <v>211</v>
      </c>
      <c r="G28" s="137">
        <v>45870</v>
      </c>
      <c r="H28" s="138">
        <v>45900</v>
      </c>
      <c r="I28" s="146" t="s">
        <v>360</v>
      </c>
      <c r="J28" s="138">
        <v>45856</v>
      </c>
      <c r="K28" s="139">
        <v>172727273</v>
      </c>
      <c r="L28" s="158" t="s">
        <v>168</v>
      </c>
      <c r="M28" s="147"/>
      <c r="N28" s="177" t="s">
        <v>61</v>
      </c>
      <c r="O28" s="140"/>
      <c r="P28" s="140"/>
      <c r="Q28" s="140"/>
      <c r="R28" s="140"/>
      <c r="S28" s="140"/>
      <c r="T28" s="140"/>
      <c r="U28" s="140"/>
      <c r="V28" s="140"/>
      <c r="W28" s="140"/>
      <c r="X28" s="140"/>
    </row>
    <row r="29" spans="1:24" ht="27" customHeight="1">
      <c r="A29" s="48">
        <v>2025</v>
      </c>
      <c r="B29" s="48">
        <v>27</v>
      </c>
      <c r="C29" s="134" t="s">
        <v>208</v>
      </c>
      <c r="D29" s="134" t="s">
        <v>212</v>
      </c>
      <c r="E29" s="136" t="s">
        <v>213</v>
      </c>
      <c r="F29" s="136" t="s">
        <v>214</v>
      </c>
      <c r="G29" s="137">
        <v>45817</v>
      </c>
      <c r="H29" s="146">
        <v>45898</v>
      </c>
      <c r="I29" s="146" t="s">
        <v>360</v>
      </c>
      <c r="J29" s="146">
        <v>45827</v>
      </c>
      <c r="K29" s="148">
        <v>10060000</v>
      </c>
      <c r="L29" s="158" t="s">
        <v>168</v>
      </c>
      <c r="M29" s="147"/>
      <c r="N29" s="178"/>
      <c r="O29" s="140"/>
      <c r="P29" s="140"/>
      <c r="Q29" s="140"/>
      <c r="R29" s="140"/>
      <c r="S29" s="140"/>
      <c r="T29" s="140"/>
      <c r="U29" s="140"/>
      <c r="V29" s="140"/>
      <c r="W29" s="140"/>
      <c r="X29" s="140"/>
    </row>
    <row r="30" spans="1:24" ht="27" customHeight="1">
      <c r="A30" s="48">
        <v>2025</v>
      </c>
      <c r="B30" s="48">
        <v>28</v>
      </c>
      <c r="C30" s="134" t="s">
        <v>208</v>
      </c>
      <c r="D30" s="134" t="s">
        <v>215</v>
      </c>
      <c r="E30" s="136" t="s">
        <v>216</v>
      </c>
      <c r="F30" s="136" t="s">
        <v>214</v>
      </c>
      <c r="G30" s="137">
        <v>45833</v>
      </c>
      <c r="H30" s="146">
        <v>45851</v>
      </c>
      <c r="I30" s="146" t="s">
        <v>360</v>
      </c>
      <c r="J30" s="146">
        <v>45831</v>
      </c>
      <c r="K30" s="148">
        <v>1760000</v>
      </c>
      <c r="L30" s="158" t="s">
        <v>168</v>
      </c>
      <c r="M30" s="147"/>
      <c r="N30" s="153"/>
      <c r="O30" s="140"/>
      <c r="P30" s="140"/>
      <c r="Q30" s="140"/>
      <c r="R30" s="140"/>
      <c r="S30" s="140"/>
      <c r="T30" s="140"/>
      <c r="U30" s="140"/>
      <c r="V30" s="140"/>
      <c r="W30" s="140"/>
      <c r="X30" s="140"/>
    </row>
    <row r="31" spans="1:24" ht="27" customHeight="1">
      <c r="A31" s="49">
        <v>2025</v>
      </c>
      <c r="B31" s="48">
        <v>29</v>
      </c>
      <c r="C31" s="149" t="s">
        <v>217</v>
      </c>
      <c r="D31" s="149" t="s">
        <v>218</v>
      </c>
      <c r="E31" s="150" t="s">
        <v>219</v>
      </c>
      <c r="F31" s="160" t="s">
        <v>220</v>
      </c>
      <c r="G31" s="169">
        <v>45261</v>
      </c>
      <c r="H31" s="169">
        <v>46112</v>
      </c>
      <c r="I31" s="169" t="s">
        <v>360</v>
      </c>
      <c r="J31" s="169">
        <v>45920</v>
      </c>
      <c r="K31" s="148">
        <v>1416121000</v>
      </c>
      <c r="L31" s="149" t="s">
        <v>360</v>
      </c>
      <c r="M31" s="179" t="s">
        <v>221</v>
      </c>
      <c r="N31" s="140"/>
      <c r="O31" s="140"/>
      <c r="P31" s="140"/>
      <c r="Q31" s="140"/>
      <c r="R31" s="140"/>
      <c r="S31" s="140"/>
      <c r="T31" s="140"/>
      <c r="U31" s="140"/>
      <c r="V31" s="140"/>
      <c r="W31" s="140"/>
      <c r="X31" s="140"/>
    </row>
    <row r="32" spans="1:24" ht="27" customHeight="1">
      <c r="A32" s="48">
        <v>2025</v>
      </c>
      <c r="B32" s="48">
        <v>30</v>
      </c>
      <c r="C32" s="134" t="s">
        <v>222</v>
      </c>
      <c r="D32" s="134" t="s">
        <v>223</v>
      </c>
      <c r="E32" s="136" t="s">
        <v>224</v>
      </c>
      <c r="F32" s="136" t="s">
        <v>225</v>
      </c>
      <c r="G32" s="137">
        <v>45835</v>
      </c>
      <c r="H32" s="138">
        <v>45838</v>
      </c>
      <c r="I32" s="138" t="s">
        <v>61</v>
      </c>
      <c r="J32" s="138" t="s">
        <v>61</v>
      </c>
      <c r="K32" s="139">
        <v>165000</v>
      </c>
      <c r="L32" s="134" t="s">
        <v>61</v>
      </c>
      <c r="M32" s="147"/>
      <c r="N32" s="137">
        <v>45875</v>
      </c>
      <c r="O32" s="140" t="s">
        <v>58</v>
      </c>
      <c r="P32" s="140" t="s">
        <v>59</v>
      </c>
      <c r="Q32" s="140">
        <v>45874</v>
      </c>
      <c r="R32" s="140">
        <v>45838</v>
      </c>
      <c r="S32" s="140" t="s">
        <v>284</v>
      </c>
      <c r="T32" s="140" t="s">
        <v>71</v>
      </c>
      <c r="U32" s="140" t="s">
        <v>285</v>
      </c>
      <c r="V32" s="140" t="s">
        <v>286</v>
      </c>
      <c r="W32" s="140" t="s">
        <v>57</v>
      </c>
      <c r="X32" s="140"/>
    </row>
    <row r="33" spans="1:24" ht="27" customHeight="1">
      <c r="A33" s="49">
        <v>2025</v>
      </c>
      <c r="B33" s="48">
        <v>31</v>
      </c>
      <c r="C33" s="149" t="s">
        <v>98</v>
      </c>
      <c r="D33" s="149" t="s">
        <v>226</v>
      </c>
      <c r="E33" s="150" t="s">
        <v>227</v>
      </c>
      <c r="F33" s="150" t="s">
        <v>214</v>
      </c>
      <c r="G33" s="140">
        <v>45793</v>
      </c>
      <c r="H33" s="146">
        <v>45898</v>
      </c>
      <c r="I33" s="138" t="s">
        <v>360</v>
      </c>
      <c r="J33" s="138">
        <v>45761</v>
      </c>
      <c r="K33" s="148">
        <v>3450000</v>
      </c>
      <c r="L33" s="149" t="s">
        <v>61</v>
      </c>
      <c r="M33" s="156"/>
      <c r="N33" s="157"/>
      <c r="O33" s="140"/>
      <c r="P33" s="140"/>
      <c r="Q33" s="140"/>
      <c r="R33" s="140"/>
      <c r="S33" s="140"/>
      <c r="T33" s="140"/>
      <c r="U33" s="140"/>
      <c r="V33" s="140"/>
      <c r="W33" s="140"/>
      <c r="X33" s="140"/>
    </row>
    <row r="34" spans="1:24" ht="27" customHeight="1">
      <c r="A34" s="49">
        <v>2025</v>
      </c>
      <c r="B34" s="48">
        <v>32</v>
      </c>
      <c r="C34" s="149" t="s">
        <v>228</v>
      </c>
      <c r="D34" s="149" t="s">
        <v>229</v>
      </c>
      <c r="E34" s="150" t="s">
        <v>230</v>
      </c>
      <c r="F34" s="150" t="s">
        <v>214</v>
      </c>
      <c r="G34" s="140">
        <v>45805</v>
      </c>
      <c r="H34" s="146">
        <v>45838</v>
      </c>
      <c r="I34" s="146" t="s">
        <v>360</v>
      </c>
      <c r="J34" s="180">
        <v>45805</v>
      </c>
      <c r="K34" s="148">
        <v>4070000</v>
      </c>
      <c r="L34" s="158" t="s">
        <v>168</v>
      </c>
      <c r="M34" s="156"/>
      <c r="N34" s="157"/>
      <c r="O34" s="140"/>
      <c r="P34" s="140"/>
      <c r="Q34" s="140"/>
      <c r="R34" s="140"/>
      <c r="S34" s="140"/>
      <c r="T34" s="140"/>
      <c r="U34" s="140"/>
      <c r="V34" s="140"/>
      <c r="W34" s="140"/>
      <c r="X34" s="140"/>
    </row>
    <row r="35" spans="1:24" ht="27" customHeight="1">
      <c r="A35" s="48">
        <v>2025</v>
      </c>
      <c r="B35" s="48">
        <v>33</v>
      </c>
      <c r="C35" s="134" t="s">
        <v>372</v>
      </c>
      <c r="D35" s="134" t="s">
        <v>231</v>
      </c>
      <c r="E35" s="136" t="s">
        <v>373</v>
      </c>
      <c r="F35" s="136" t="s">
        <v>374</v>
      </c>
      <c r="G35" s="137">
        <v>45800</v>
      </c>
      <c r="H35" s="146">
        <v>45930</v>
      </c>
      <c r="I35" s="146" t="s">
        <v>360</v>
      </c>
      <c r="J35" s="146">
        <v>45799</v>
      </c>
      <c r="K35" s="148">
        <f>460000+760000</f>
        <v>1220000</v>
      </c>
      <c r="L35" s="158" t="s">
        <v>61</v>
      </c>
      <c r="M35" s="147"/>
      <c r="N35" s="153"/>
      <c r="O35" s="140"/>
      <c r="P35" s="140"/>
      <c r="Q35" s="140"/>
      <c r="R35" s="140"/>
      <c r="S35" s="140"/>
      <c r="T35" s="140"/>
      <c r="U35" s="140"/>
      <c r="V35" s="140"/>
      <c r="W35" s="140"/>
      <c r="X35" s="140"/>
    </row>
    <row r="36" spans="1:24" ht="27" customHeight="1">
      <c r="A36" s="48">
        <v>2025</v>
      </c>
      <c r="B36" s="48">
        <v>34</v>
      </c>
      <c r="C36" s="149" t="s">
        <v>72</v>
      </c>
      <c r="D36" s="149" t="s">
        <v>232</v>
      </c>
      <c r="E36" s="150" t="s">
        <v>233</v>
      </c>
      <c r="F36" s="150" t="s">
        <v>177</v>
      </c>
      <c r="G36" s="157"/>
      <c r="H36" s="154"/>
      <c r="I36" s="154"/>
      <c r="J36" s="154"/>
      <c r="K36" s="139">
        <v>450000</v>
      </c>
      <c r="L36" s="158" t="s">
        <v>61</v>
      </c>
      <c r="M36" s="156"/>
      <c r="N36" s="157"/>
      <c r="O36" s="140"/>
      <c r="P36" s="140"/>
      <c r="Q36" s="140"/>
      <c r="R36" s="140"/>
      <c r="S36" s="140"/>
      <c r="T36" s="140"/>
      <c r="U36" s="140"/>
      <c r="V36" s="140"/>
      <c r="W36" s="140"/>
      <c r="X36" s="140"/>
    </row>
    <row r="37" spans="1:24" ht="27" customHeight="1">
      <c r="A37" s="48">
        <v>2025</v>
      </c>
      <c r="B37" s="48">
        <v>35</v>
      </c>
      <c r="C37" s="149" t="s">
        <v>72</v>
      </c>
      <c r="D37" s="149" t="s">
        <v>234</v>
      </c>
      <c r="E37" s="150" t="s">
        <v>235</v>
      </c>
      <c r="F37" s="150" t="s">
        <v>177</v>
      </c>
      <c r="G37" s="157"/>
      <c r="H37" s="154"/>
      <c r="I37" s="154"/>
      <c r="J37" s="154"/>
      <c r="K37" s="139">
        <v>190000</v>
      </c>
      <c r="L37" s="158" t="s">
        <v>61</v>
      </c>
      <c r="M37" s="156"/>
      <c r="N37" s="157"/>
      <c r="O37" s="140"/>
      <c r="P37" s="140"/>
      <c r="Q37" s="140"/>
      <c r="R37" s="140"/>
      <c r="S37" s="140"/>
      <c r="T37" s="140"/>
      <c r="U37" s="140"/>
      <c r="V37" s="140"/>
      <c r="W37" s="140"/>
      <c r="X37" s="140"/>
    </row>
    <row r="38" spans="1:24" ht="27" customHeight="1">
      <c r="A38" s="48">
        <v>2025</v>
      </c>
      <c r="B38" s="48">
        <v>36</v>
      </c>
      <c r="C38" s="149" t="s">
        <v>236</v>
      </c>
      <c r="D38" s="149" t="s">
        <v>237</v>
      </c>
      <c r="E38" s="150" t="s">
        <v>238</v>
      </c>
      <c r="F38" s="150" t="s">
        <v>239</v>
      </c>
      <c r="G38" s="140">
        <v>45838</v>
      </c>
      <c r="H38" s="146">
        <v>45838</v>
      </c>
      <c r="I38" s="154"/>
      <c r="J38" s="154"/>
      <c r="K38" s="148">
        <v>8000</v>
      </c>
      <c r="L38" s="158" t="s">
        <v>61</v>
      </c>
      <c r="M38" s="156"/>
      <c r="N38" s="140">
        <v>45853</v>
      </c>
      <c r="O38" s="140" t="s">
        <v>58</v>
      </c>
      <c r="P38" s="140" t="s">
        <v>268</v>
      </c>
      <c r="Q38" s="140">
        <v>45846</v>
      </c>
      <c r="R38" s="140">
        <v>45838</v>
      </c>
      <c r="S38" s="140" t="s">
        <v>287</v>
      </c>
      <c r="T38" s="140" t="s">
        <v>74</v>
      </c>
      <c r="U38" s="140" t="s">
        <v>288</v>
      </c>
      <c r="V38" s="140" t="s">
        <v>239</v>
      </c>
      <c r="W38" s="140" t="s">
        <v>289</v>
      </c>
      <c r="X38" s="140"/>
    </row>
    <row r="39" spans="1:24" ht="27" customHeight="1">
      <c r="A39" s="48">
        <v>2025</v>
      </c>
      <c r="B39" s="48">
        <v>37</v>
      </c>
      <c r="C39" s="149" t="s">
        <v>236</v>
      </c>
      <c r="D39" s="149" t="s">
        <v>75</v>
      </c>
      <c r="E39" s="150" t="s">
        <v>240</v>
      </c>
      <c r="F39" s="150" t="s">
        <v>241</v>
      </c>
      <c r="G39" s="140">
        <v>45834</v>
      </c>
      <c r="H39" s="146">
        <v>45834</v>
      </c>
      <c r="I39" s="154"/>
      <c r="J39" s="154"/>
      <c r="K39" s="148">
        <v>15000</v>
      </c>
      <c r="L39" s="158" t="s">
        <v>61</v>
      </c>
      <c r="M39" s="156"/>
      <c r="N39" s="140">
        <v>45853</v>
      </c>
      <c r="O39" s="140" t="s">
        <v>58</v>
      </c>
      <c r="P39" s="140" t="s">
        <v>268</v>
      </c>
      <c r="Q39" s="140">
        <v>45846</v>
      </c>
      <c r="R39" s="140">
        <v>45834</v>
      </c>
      <c r="S39" s="140" t="s">
        <v>290</v>
      </c>
      <c r="T39" s="140" t="s">
        <v>291</v>
      </c>
      <c r="U39" s="140" t="s">
        <v>292</v>
      </c>
      <c r="V39" s="140" t="s">
        <v>293</v>
      </c>
      <c r="W39" s="140" t="s">
        <v>294</v>
      </c>
      <c r="X39" s="140"/>
    </row>
    <row r="40" spans="1:24" ht="27" customHeight="1">
      <c r="A40" s="48">
        <v>2025</v>
      </c>
      <c r="B40" s="48">
        <v>38</v>
      </c>
      <c r="C40" s="149" t="s">
        <v>73</v>
      </c>
      <c r="D40" s="149" t="s">
        <v>76</v>
      </c>
      <c r="E40" s="150" t="s">
        <v>242</v>
      </c>
      <c r="F40" s="150" t="s">
        <v>77</v>
      </c>
      <c r="G40" s="174">
        <v>45836</v>
      </c>
      <c r="H40" s="146">
        <v>45838</v>
      </c>
      <c r="I40" s="146" t="s">
        <v>65</v>
      </c>
      <c r="J40" s="154"/>
      <c r="K40" s="148">
        <v>55000</v>
      </c>
      <c r="L40" s="149" t="s">
        <v>65</v>
      </c>
      <c r="M40" s="156"/>
      <c r="N40" s="140">
        <v>45853</v>
      </c>
      <c r="O40" s="140" t="s">
        <v>58</v>
      </c>
      <c r="P40" s="140" t="s">
        <v>268</v>
      </c>
      <c r="Q40" s="140">
        <v>45846</v>
      </c>
      <c r="R40" s="140">
        <v>45838</v>
      </c>
      <c r="S40" s="140" t="s">
        <v>295</v>
      </c>
      <c r="T40" s="140" t="s">
        <v>296</v>
      </c>
      <c r="U40" s="140" t="s">
        <v>297</v>
      </c>
      <c r="V40" s="140" t="s">
        <v>298</v>
      </c>
      <c r="W40" s="140" t="s">
        <v>299</v>
      </c>
      <c r="X40" s="140"/>
    </row>
    <row r="41" spans="1:24" ht="27" customHeight="1">
      <c r="A41" s="48">
        <v>2025</v>
      </c>
      <c r="B41" s="48">
        <v>39</v>
      </c>
      <c r="C41" s="149" t="s">
        <v>208</v>
      </c>
      <c r="D41" s="149" t="s">
        <v>100</v>
      </c>
      <c r="E41" s="150" t="s">
        <v>101</v>
      </c>
      <c r="F41" s="150" t="s">
        <v>78</v>
      </c>
      <c r="G41" s="174">
        <v>45811</v>
      </c>
      <c r="H41" s="176">
        <v>45811</v>
      </c>
      <c r="I41" s="146" t="s">
        <v>65</v>
      </c>
      <c r="J41" s="154"/>
      <c r="K41" s="148">
        <v>76000</v>
      </c>
      <c r="L41" s="149" t="s">
        <v>65</v>
      </c>
      <c r="M41" s="156"/>
      <c r="N41" s="140">
        <v>45846</v>
      </c>
      <c r="O41" s="140" t="s">
        <v>58</v>
      </c>
      <c r="P41" s="140" t="s">
        <v>102</v>
      </c>
      <c r="Q41" s="174">
        <v>45846</v>
      </c>
      <c r="R41" s="174">
        <v>45811</v>
      </c>
      <c r="S41" s="140" t="s">
        <v>103</v>
      </c>
      <c r="T41" s="140" t="s">
        <v>104</v>
      </c>
      <c r="U41" s="140" t="s">
        <v>105</v>
      </c>
      <c r="V41" s="140" t="s">
        <v>106</v>
      </c>
      <c r="W41" s="140" t="s">
        <v>103</v>
      </c>
      <c r="X41" s="140"/>
    </row>
    <row r="42" spans="1:24" ht="27" customHeight="1">
      <c r="A42" s="48">
        <v>2025</v>
      </c>
      <c r="B42" s="48">
        <v>40</v>
      </c>
      <c r="C42" s="149" t="s">
        <v>208</v>
      </c>
      <c r="D42" s="149" t="s">
        <v>107</v>
      </c>
      <c r="E42" s="150" t="s">
        <v>108</v>
      </c>
      <c r="F42" s="150" t="s">
        <v>79</v>
      </c>
      <c r="G42" s="174">
        <v>45831</v>
      </c>
      <c r="H42" s="176">
        <v>45831</v>
      </c>
      <c r="I42" s="146" t="s">
        <v>65</v>
      </c>
      <c r="J42" s="154"/>
      <c r="K42" s="148">
        <v>50000</v>
      </c>
      <c r="L42" s="149" t="s">
        <v>65</v>
      </c>
      <c r="M42" s="156"/>
      <c r="N42" s="140">
        <v>45846</v>
      </c>
      <c r="O42" s="140" t="s">
        <v>274</v>
      </c>
      <c r="P42" s="140" t="s">
        <v>300</v>
      </c>
      <c r="Q42" s="174">
        <v>45846</v>
      </c>
      <c r="R42" s="174">
        <v>45831</v>
      </c>
      <c r="S42" s="140" t="s">
        <v>301</v>
      </c>
      <c r="T42" s="140" t="s">
        <v>302</v>
      </c>
      <c r="U42" s="140" t="s">
        <v>303</v>
      </c>
      <c r="V42" s="140" t="s">
        <v>304</v>
      </c>
      <c r="W42" s="140" t="s">
        <v>301</v>
      </c>
      <c r="X42" s="140"/>
    </row>
    <row r="43" spans="1:24" ht="27" customHeight="1">
      <c r="A43" s="48">
        <v>2025</v>
      </c>
      <c r="B43" s="48">
        <v>41</v>
      </c>
      <c r="C43" s="149" t="s">
        <v>208</v>
      </c>
      <c r="D43" s="149" t="s">
        <v>109</v>
      </c>
      <c r="E43" s="150" t="s">
        <v>110</v>
      </c>
      <c r="F43" s="150" t="s">
        <v>111</v>
      </c>
      <c r="G43" s="174">
        <v>45821</v>
      </c>
      <c r="H43" s="176">
        <v>45821</v>
      </c>
      <c r="I43" s="154"/>
      <c r="J43" s="154"/>
      <c r="K43" s="148">
        <v>40000</v>
      </c>
      <c r="L43" s="149" t="s">
        <v>65</v>
      </c>
      <c r="M43" s="156"/>
      <c r="N43" s="140">
        <v>45846</v>
      </c>
      <c r="O43" s="140" t="s">
        <v>274</v>
      </c>
      <c r="P43" s="140" t="s">
        <v>300</v>
      </c>
      <c r="Q43" s="174">
        <v>45846</v>
      </c>
      <c r="R43" s="174">
        <v>45821</v>
      </c>
      <c r="S43" s="140" t="s">
        <v>305</v>
      </c>
      <c r="T43" s="140" t="s">
        <v>302</v>
      </c>
      <c r="U43" s="140" t="s">
        <v>303</v>
      </c>
      <c r="V43" s="140" t="s">
        <v>304</v>
      </c>
      <c r="W43" s="140" t="s">
        <v>306</v>
      </c>
      <c r="X43" s="140"/>
    </row>
    <row r="44" spans="1:24" ht="27" customHeight="1">
      <c r="A44" s="48">
        <v>2025</v>
      </c>
      <c r="B44" s="48">
        <v>42</v>
      </c>
      <c r="C44" s="149" t="s">
        <v>208</v>
      </c>
      <c r="D44" s="149" t="s">
        <v>112</v>
      </c>
      <c r="E44" s="150" t="s">
        <v>113</v>
      </c>
      <c r="F44" s="150" t="s">
        <v>114</v>
      </c>
      <c r="G44" s="174">
        <v>45821</v>
      </c>
      <c r="H44" s="176">
        <v>45821</v>
      </c>
      <c r="I44" s="154"/>
      <c r="J44" s="154"/>
      <c r="K44" s="148">
        <v>15000</v>
      </c>
      <c r="L44" s="149" t="s">
        <v>65</v>
      </c>
      <c r="M44" s="156"/>
      <c r="N44" s="140">
        <v>45846</v>
      </c>
      <c r="O44" s="140" t="s">
        <v>58</v>
      </c>
      <c r="P44" s="140" t="s">
        <v>102</v>
      </c>
      <c r="Q44" s="174">
        <v>45846</v>
      </c>
      <c r="R44" s="174">
        <v>45821</v>
      </c>
      <c r="S44" s="140" t="s">
        <v>115</v>
      </c>
      <c r="T44" s="140" t="s">
        <v>104</v>
      </c>
      <c r="U44" s="140" t="s">
        <v>105</v>
      </c>
      <c r="V44" s="140" t="s">
        <v>106</v>
      </c>
      <c r="W44" s="140" t="s">
        <v>116</v>
      </c>
      <c r="X44" s="140"/>
    </row>
    <row r="45" spans="1:24" ht="27" customHeight="1">
      <c r="A45" s="48">
        <v>2025</v>
      </c>
      <c r="B45" s="48">
        <v>43</v>
      </c>
      <c r="C45" s="149" t="s">
        <v>243</v>
      </c>
      <c r="D45" s="149" t="s">
        <v>375</v>
      </c>
      <c r="E45" s="150" t="s">
        <v>244</v>
      </c>
      <c r="F45" s="150" t="s">
        <v>80</v>
      </c>
      <c r="G45" s="140">
        <v>45839</v>
      </c>
      <c r="H45" s="146">
        <v>45981</v>
      </c>
      <c r="I45" s="146" t="s">
        <v>81</v>
      </c>
      <c r="J45" s="146">
        <v>45811</v>
      </c>
      <c r="K45" s="148">
        <v>20070000</v>
      </c>
      <c r="L45" s="149" t="s">
        <v>65</v>
      </c>
      <c r="M45" s="156"/>
      <c r="N45" s="140">
        <v>45874</v>
      </c>
      <c r="O45" s="140" t="s">
        <v>345</v>
      </c>
      <c r="P45" s="140" t="s">
        <v>63</v>
      </c>
      <c r="Q45" s="140">
        <v>45874</v>
      </c>
      <c r="R45" s="140"/>
      <c r="S45" s="140" t="s">
        <v>362</v>
      </c>
      <c r="T45" s="140" t="s">
        <v>316</v>
      </c>
      <c r="U45" s="140" t="s">
        <v>363</v>
      </c>
      <c r="V45" s="140" t="s">
        <v>364</v>
      </c>
      <c r="W45" s="140" t="s">
        <v>315</v>
      </c>
      <c r="X45" s="140" t="s">
        <v>365</v>
      </c>
    </row>
    <row r="46" spans="1:24" ht="27" customHeight="1">
      <c r="A46" s="48">
        <v>2025</v>
      </c>
      <c r="B46" s="48">
        <v>44</v>
      </c>
      <c r="C46" s="149" t="s">
        <v>245</v>
      </c>
      <c r="D46" s="149" t="s">
        <v>246</v>
      </c>
      <c r="E46" s="150" t="s">
        <v>247</v>
      </c>
      <c r="F46" s="150" t="s">
        <v>248</v>
      </c>
      <c r="G46" s="157"/>
      <c r="H46" s="154"/>
      <c r="I46" s="146" t="s">
        <v>65</v>
      </c>
      <c r="J46" s="154"/>
      <c r="K46" s="148">
        <v>260000</v>
      </c>
      <c r="L46" s="149" t="s">
        <v>249</v>
      </c>
      <c r="M46" s="156"/>
      <c r="N46" s="140">
        <v>45846</v>
      </c>
      <c r="O46" s="140" t="s">
        <v>58</v>
      </c>
      <c r="P46" s="140" t="s">
        <v>268</v>
      </c>
      <c r="Q46" s="174">
        <v>45846</v>
      </c>
      <c r="R46" s="140">
        <v>45846</v>
      </c>
      <c r="S46" s="140" t="s">
        <v>82</v>
      </c>
      <c r="T46" s="140" t="s">
        <v>83</v>
      </c>
      <c r="U46" s="171" t="s">
        <v>307</v>
      </c>
      <c r="V46" s="140" t="s">
        <v>84</v>
      </c>
      <c r="W46" s="140" t="s">
        <v>82</v>
      </c>
      <c r="X46" s="140"/>
    </row>
    <row r="47" spans="1:24" ht="27" customHeight="1">
      <c r="A47" s="48">
        <v>2025</v>
      </c>
      <c r="B47" s="48">
        <v>45</v>
      </c>
      <c r="C47" s="149" t="s">
        <v>60</v>
      </c>
      <c r="D47" s="149" t="s">
        <v>85</v>
      </c>
      <c r="E47" s="150" t="s">
        <v>250</v>
      </c>
      <c r="F47" s="150" t="s">
        <v>251</v>
      </c>
      <c r="G47" s="157"/>
      <c r="H47" s="154"/>
      <c r="I47" s="154"/>
      <c r="J47" s="154"/>
      <c r="K47" s="155"/>
      <c r="L47" s="149" t="s">
        <v>249</v>
      </c>
      <c r="M47" s="156"/>
      <c r="N47" s="157"/>
      <c r="O47" s="140"/>
      <c r="P47" s="140"/>
      <c r="Q47" s="174"/>
      <c r="R47" s="140"/>
      <c r="S47" s="140"/>
      <c r="T47" s="140"/>
      <c r="U47" s="171"/>
      <c r="V47" s="140"/>
      <c r="W47" s="140"/>
      <c r="X47" s="140"/>
    </row>
    <row r="48" spans="1:24" ht="27" customHeight="1">
      <c r="A48" s="48">
        <v>2025</v>
      </c>
      <c r="B48" s="48">
        <v>46</v>
      </c>
      <c r="C48" s="149" t="s">
        <v>60</v>
      </c>
      <c r="D48" s="149" t="s">
        <v>376</v>
      </c>
      <c r="E48" s="150" t="s">
        <v>125</v>
      </c>
      <c r="F48" s="150" t="s">
        <v>86</v>
      </c>
      <c r="G48" s="140">
        <v>45852</v>
      </c>
      <c r="H48" s="146">
        <v>45976</v>
      </c>
      <c r="I48" s="146" t="s">
        <v>81</v>
      </c>
      <c r="J48" s="154"/>
      <c r="K48" s="148">
        <v>2525000</v>
      </c>
      <c r="L48" s="149" t="s">
        <v>81</v>
      </c>
      <c r="M48" s="156"/>
      <c r="N48" s="157"/>
      <c r="O48" s="140"/>
      <c r="P48" s="140"/>
      <c r="Q48" s="140"/>
      <c r="R48" s="140"/>
      <c r="S48" s="140"/>
      <c r="T48" s="140"/>
      <c r="U48" s="140"/>
      <c r="V48" s="140"/>
      <c r="W48" s="140"/>
      <c r="X48" s="140"/>
    </row>
    <row r="49" spans="1:24" ht="27" customHeight="1">
      <c r="A49" s="48">
        <v>2025</v>
      </c>
      <c r="B49" s="48">
        <v>47</v>
      </c>
      <c r="C49" s="149" t="s">
        <v>60</v>
      </c>
      <c r="D49" s="149" t="s">
        <v>377</v>
      </c>
      <c r="E49" s="150" t="s">
        <v>378</v>
      </c>
      <c r="F49" s="150" t="s">
        <v>87</v>
      </c>
      <c r="G49" s="140">
        <v>45848</v>
      </c>
      <c r="H49" s="146">
        <v>46031</v>
      </c>
      <c r="I49" s="146" t="s">
        <v>81</v>
      </c>
      <c r="J49" s="146">
        <v>45840</v>
      </c>
      <c r="K49" s="148">
        <v>7980000</v>
      </c>
      <c r="L49" s="149" t="s">
        <v>65</v>
      </c>
      <c r="M49" s="156"/>
      <c r="N49" s="157"/>
      <c r="O49" s="140"/>
      <c r="P49" s="140"/>
      <c r="Q49" s="140"/>
      <c r="R49" s="140"/>
      <c r="S49" s="140"/>
      <c r="T49" s="140"/>
      <c r="U49" s="140"/>
      <c r="V49" s="140"/>
      <c r="W49" s="140"/>
      <c r="X49" s="140"/>
    </row>
    <row r="50" spans="1:24" s="45" customFormat="1" ht="36.6" customHeight="1">
      <c r="A50" s="48">
        <v>2025</v>
      </c>
      <c r="B50" s="48">
        <v>48</v>
      </c>
      <c r="C50" s="149" t="s">
        <v>379</v>
      </c>
      <c r="D50" s="149" t="s">
        <v>88</v>
      </c>
      <c r="E50" s="150" t="s">
        <v>380</v>
      </c>
      <c r="F50" s="150" t="s">
        <v>381</v>
      </c>
      <c r="G50" s="157"/>
      <c r="H50" s="146">
        <v>45930</v>
      </c>
      <c r="I50" s="146" t="s">
        <v>81</v>
      </c>
      <c r="J50" s="146">
        <v>45861</v>
      </c>
      <c r="K50" s="148">
        <v>650000</v>
      </c>
      <c r="L50" s="149" t="s">
        <v>65</v>
      </c>
      <c r="M50" s="156" t="s">
        <v>89</v>
      </c>
      <c r="N50" s="157"/>
      <c r="O50" s="140"/>
      <c r="P50" s="140"/>
      <c r="Q50" s="140"/>
      <c r="R50" s="140"/>
      <c r="S50" s="140"/>
      <c r="T50" s="140"/>
      <c r="U50" s="140"/>
      <c r="V50" s="140"/>
      <c r="W50" s="140"/>
      <c r="X50" s="140"/>
    </row>
    <row r="51" spans="1:24" ht="27" customHeight="1">
      <c r="A51" s="48">
        <v>2025</v>
      </c>
      <c r="B51" s="48">
        <v>49</v>
      </c>
      <c r="C51" s="149" t="s">
        <v>382</v>
      </c>
      <c r="D51" s="149" t="s">
        <v>90</v>
      </c>
      <c r="E51" s="150" t="s">
        <v>252</v>
      </c>
      <c r="F51" s="150" t="s">
        <v>91</v>
      </c>
      <c r="G51" s="140">
        <v>45888</v>
      </c>
      <c r="H51" s="146">
        <v>45976</v>
      </c>
      <c r="I51" s="146" t="s">
        <v>81</v>
      </c>
      <c r="J51" s="138">
        <v>45877</v>
      </c>
      <c r="K51" s="148">
        <v>18900000</v>
      </c>
      <c r="L51" s="149" t="s">
        <v>65</v>
      </c>
      <c r="M51" s="156"/>
      <c r="N51" s="157"/>
      <c r="O51" s="140"/>
      <c r="P51" s="140"/>
      <c r="Q51" s="140"/>
      <c r="R51" s="140"/>
      <c r="S51" s="140"/>
      <c r="T51" s="140"/>
      <c r="U51" s="140"/>
      <c r="V51" s="140"/>
      <c r="W51" s="140"/>
      <c r="X51" s="140"/>
    </row>
    <row r="52" spans="1:24" ht="27" customHeight="1">
      <c r="A52" s="48">
        <v>2025</v>
      </c>
      <c r="B52" s="48">
        <v>50</v>
      </c>
      <c r="C52" s="149" t="s">
        <v>69</v>
      </c>
      <c r="D52" s="149" t="s">
        <v>383</v>
      </c>
      <c r="E52" s="150" t="s">
        <v>384</v>
      </c>
      <c r="F52" s="150" t="s">
        <v>70</v>
      </c>
      <c r="G52" s="146" t="s">
        <v>65</v>
      </c>
      <c r="H52" s="146" t="s">
        <v>65</v>
      </c>
      <c r="I52" s="146" t="s">
        <v>65</v>
      </c>
      <c r="J52" s="146" t="s">
        <v>65</v>
      </c>
      <c r="K52" s="148">
        <v>17939200</v>
      </c>
      <c r="L52" s="149" t="s">
        <v>65</v>
      </c>
      <c r="M52" s="156"/>
      <c r="N52" s="157"/>
      <c r="O52" s="140"/>
      <c r="P52" s="140"/>
      <c r="Q52" s="140"/>
      <c r="R52" s="140"/>
      <c r="S52" s="140"/>
      <c r="T52" s="140"/>
      <c r="U52" s="140"/>
      <c r="V52" s="140"/>
      <c r="W52" s="140"/>
      <c r="X52" s="140"/>
    </row>
    <row r="53" spans="1:24" ht="27" customHeight="1">
      <c r="A53" s="49">
        <v>2025</v>
      </c>
      <c r="B53" s="49">
        <v>51</v>
      </c>
      <c r="C53" s="149" t="s">
        <v>253</v>
      </c>
      <c r="D53" s="149" t="s">
        <v>92</v>
      </c>
      <c r="E53" s="150" t="s">
        <v>254</v>
      </c>
      <c r="F53" s="150" t="s">
        <v>255</v>
      </c>
      <c r="G53" s="140">
        <v>45873</v>
      </c>
      <c r="H53" s="146">
        <v>45873</v>
      </c>
      <c r="I53" s="146" t="s">
        <v>249</v>
      </c>
      <c r="J53" s="154"/>
      <c r="K53" s="148">
        <v>200000</v>
      </c>
      <c r="L53" s="149" t="s">
        <v>249</v>
      </c>
      <c r="M53" s="156"/>
      <c r="N53" s="140">
        <v>45874</v>
      </c>
      <c r="O53" s="140" t="s">
        <v>274</v>
      </c>
      <c r="P53" s="140" t="s">
        <v>308</v>
      </c>
      <c r="Q53" s="140">
        <v>45874</v>
      </c>
      <c r="R53" s="140">
        <v>45873</v>
      </c>
      <c r="S53" s="140" t="s">
        <v>255</v>
      </c>
      <c r="T53" s="140" t="s">
        <v>309</v>
      </c>
      <c r="U53" s="140" t="s">
        <v>310</v>
      </c>
      <c r="V53" s="140" t="s">
        <v>94</v>
      </c>
      <c r="W53" s="140" t="s">
        <v>311</v>
      </c>
      <c r="X53" s="140"/>
    </row>
    <row r="54" spans="1:24" ht="27" customHeight="1">
      <c r="A54" s="50">
        <v>2025</v>
      </c>
      <c r="B54" s="50">
        <v>52</v>
      </c>
      <c r="C54" s="181" t="s">
        <v>243</v>
      </c>
      <c r="D54" s="181" t="s">
        <v>95</v>
      </c>
      <c r="E54" s="182" t="s">
        <v>256</v>
      </c>
      <c r="F54" s="182" t="s">
        <v>257</v>
      </c>
      <c r="G54" s="183">
        <v>45863</v>
      </c>
      <c r="H54" s="184">
        <v>46065</v>
      </c>
      <c r="I54" s="184" t="s">
        <v>81</v>
      </c>
      <c r="J54" s="184">
        <v>45862</v>
      </c>
      <c r="K54" s="185">
        <v>7650000</v>
      </c>
      <c r="L54" s="181" t="s">
        <v>249</v>
      </c>
      <c r="M54" s="186"/>
      <c r="N54" s="183">
        <v>46069</v>
      </c>
      <c r="O54" s="183"/>
      <c r="P54" s="183"/>
      <c r="Q54" s="183"/>
      <c r="R54" s="183"/>
      <c r="S54" s="183" t="s">
        <v>399</v>
      </c>
      <c r="T54" s="183" t="s">
        <v>104</v>
      </c>
      <c r="U54" s="183" t="s">
        <v>105</v>
      </c>
      <c r="V54" s="183" t="s">
        <v>106</v>
      </c>
      <c r="W54" s="183" t="s">
        <v>405</v>
      </c>
      <c r="X54" s="183"/>
    </row>
    <row r="55" spans="1:24" s="46" customFormat="1" ht="27" customHeight="1">
      <c r="A55" s="49">
        <v>2025</v>
      </c>
      <c r="B55" s="49">
        <v>55</v>
      </c>
      <c r="C55" s="149" t="s">
        <v>208</v>
      </c>
      <c r="D55" s="149" t="s">
        <v>96</v>
      </c>
      <c r="E55" s="150" t="s">
        <v>258</v>
      </c>
      <c r="F55" s="150" t="s">
        <v>259</v>
      </c>
      <c r="G55" s="140">
        <v>45887</v>
      </c>
      <c r="H55" s="146">
        <v>46112</v>
      </c>
      <c r="I55" s="146" t="s">
        <v>260</v>
      </c>
      <c r="J55" s="146">
        <v>45876</v>
      </c>
      <c r="K55" s="148">
        <v>189000000</v>
      </c>
      <c r="L55" s="149" t="s">
        <v>260</v>
      </c>
      <c r="M55" s="156"/>
      <c r="N55" s="140"/>
      <c r="O55" s="140"/>
      <c r="P55" s="140"/>
      <c r="Q55" s="140"/>
      <c r="R55" s="140"/>
      <c r="S55" s="140"/>
      <c r="T55" s="140"/>
      <c r="U55" s="140"/>
      <c r="V55" s="140"/>
      <c r="W55" s="140"/>
      <c r="X55" s="140"/>
    </row>
    <row r="56" spans="1:24" ht="27" customHeight="1">
      <c r="A56" s="49">
        <v>2025</v>
      </c>
      <c r="B56" s="49">
        <v>56</v>
      </c>
      <c r="C56" s="149" t="s">
        <v>98</v>
      </c>
      <c r="D56" s="149" t="s">
        <v>97</v>
      </c>
      <c r="E56" s="150" t="s">
        <v>117</v>
      </c>
      <c r="F56" s="150" t="s">
        <v>99</v>
      </c>
      <c r="G56" s="140">
        <v>45833</v>
      </c>
      <c r="H56" s="146">
        <v>45846</v>
      </c>
      <c r="I56" s="146" t="s">
        <v>81</v>
      </c>
      <c r="J56" s="146">
        <v>45832</v>
      </c>
      <c r="K56" s="148">
        <v>220000</v>
      </c>
      <c r="L56" s="149" t="s">
        <v>65</v>
      </c>
      <c r="M56" s="179" t="s">
        <v>118</v>
      </c>
      <c r="N56" s="140"/>
      <c r="O56" s="140"/>
      <c r="P56" s="140"/>
      <c r="Q56" s="140"/>
      <c r="R56" s="140"/>
      <c r="S56" s="140"/>
      <c r="T56" s="140"/>
      <c r="U56" s="140"/>
      <c r="V56" s="140"/>
      <c r="W56" s="140"/>
      <c r="X56" s="140"/>
    </row>
    <row r="57" spans="1:24" ht="27" customHeight="1">
      <c r="A57" s="187">
        <v>2025</v>
      </c>
      <c r="B57" s="187">
        <v>57</v>
      </c>
      <c r="C57" s="188" t="s">
        <v>208</v>
      </c>
      <c r="D57" s="188" t="s">
        <v>119</v>
      </c>
      <c r="E57" s="189" t="s">
        <v>261</v>
      </c>
      <c r="F57" s="189" t="s">
        <v>262</v>
      </c>
      <c r="G57" s="157">
        <v>45809</v>
      </c>
      <c r="H57" s="154">
        <v>45869</v>
      </c>
      <c r="I57" s="146" t="s">
        <v>260</v>
      </c>
      <c r="J57" s="146"/>
      <c r="K57" s="148">
        <v>100000</v>
      </c>
      <c r="L57" s="149" t="s">
        <v>249</v>
      </c>
      <c r="M57" s="179" t="s">
        <v>263</v>
      </c>
      <c r="N57" s="140">
        <v>45878</v>
      </c>
      <c r="O57" s="140" t="s">
        <v>58</v>
      </c>
      <c r="P57" s="140" t="s">
        <v>268</v>
      </c>
      <c r="Q57" s="140">
        <v>45887</v>
      </c>
      <c r="R57" s="140">
        <v>45869</v>
      </c>
      <c r="S57" s="140" t="s">
        <v>120</v>
      </c>
      <c r="T57" s="140" t="s">
        <v>121</v>
      </c>
      <c r="U57" s="140" t="s">
        <v>122</v>
      </c>
      <c r="V57" s="140" t="s">
        <v>123</v>
      </c>
      <c r="W57" s="140" t="s">
        <v>120</v>
      </c>
      <c r="X57" s="140"/>
    </row>
    <row r="58" spans="1:24" ht="27" customHeight="1">
      <c r="A58" s="187">
        <v>2025</v>
      </c>
      <c r="B58" s="187">
        <v>59</v>
      </c>
      <c r="C58" s="188" t="s">
        <v>385</v>
      </c>
      <c r="D58" s="188" t="s">
        <v>386</v>
      </c>
      <c r="E58" s="189" t="s">
        <v>387</v>
      </c>
      <c r="F58" s="189" t="s">
        <v>388</v>
      </c>
      <c r="G58" s="157"/>
      <c r="H58" s="154"/>
      <c r="I58" s="154" t="s">
        <v>260</v>
      </c>
      <c r="J58" s="154"/>
      <c r="K58" s="155">
        <v>5000</v>
      </c>
      <c r="L58" s="188" t="s">
        <v>249</v>
      </c>
      <c r="M58" s="190"/>
      <c r="N58" s="157">
        <v>45901</v>
      </c>
      <c r="O58" s="157"/>
      <c r="P58" s="157"/>
      <c r="Q58" s="157"/>
      <c r="R58" s="157"/>
      <c r="S58" s="157"/>
      <c r="T58" s="157"/>
      <c r="U58" s="157"/>
      <c r="V58" s="157"/>
      <c r="W58" s="157"/>
      <c r="X58" s="157" t="s">
        <v>389</v>
      </c>
    </row>
    <row r="59" spans="1:24" ht="27" customHeight="1">
      <c r="A59" s="187">
        <v>2025</v>
      </c>
      <c r="B59" s="187">
        <v>61</v>
      </c>
      <c r="C59" s="188" t="s">
        <v>264</v>
      </c>
      <c r="D59" s="188" t="s">
        <v>128</v>
      </c>
      <c r="E59" s="189" t="s">
        <v>126</v>
      </c>
      <c r="F59" s="189" t="s">
        <v>127</v>
      </c>
      <c r="G59" s="157">
        <v>45875</v>
      </c>
      <c r="H59" s="154">
        <v>45875</v>
      </c>
      <c r="I59" s="146" t="s">
        <v>65</v>
      </c>
      <c r="J59" s="146">
        <v>45868</v>
      </c>
      <c r="K59" s="148">
        <v>50000</v>
      </c>
      <c r="L59" s="149" t="s">
        <v>65</v>
      </c>
      <c r="M59" s="156"/>
      <c r="N59" s="140">
        <v>45890</v>
      </c>
      <c r="O59" s="140" t="s">
        <v>58</v>
      </c>
      <c r="P59" s="140"/>
      <c r="Q59" s="140">
        <v>45891</v>
      </c>
      <c r="R59" s="140">
        <v>45875</v>
      </c>
      <c r="S59" s="140" t="s">
        <v>390</v>
      </c>
      <c r="T59" s="140" t="s">
        <v>391</v>
      </c>
      <c r="U59" s="140" t="s">
        <v>392</v>
      </c>
      <c r="V59" s="140" t="s">
        <v>314</v>
      </c>
      <c r="W59" s="140" t="s">
        <v>127</v>
      </c>
      <c r="X59" s="140"/>
    </row>
    <row r="60" spans="1:24" ht="27" customHeight="1">
      <c r="A60" s="187">
        <v>2025</v>
      </c>
      <c r="B60" s="187">
        <v>62</v>
      </c>
      <c r="C60" s="188" t="s">
        <v>264</v>
      </c>
      <c r="D60" s="188" t="s">
        <v>129</v>
      </c>
      <c r="E60" s="189" t="s">
        <v>130</v>
      </c>
      <c r="F60" s="189" t="s">
        <v>127</v>
      </c>
      <c r="G60" s="157">
        <v>45891</v>
      </c>
      <c r="H60" s="154"/>
      <c r="I60" s="154" t="s">
        <v>65</v>
      </c>
      <c r="J60" s="154">
        <v>45868</v>
      </c>
      <c r="K60" s="155">
        <v>45000</v>
      </c>
      <c r="L60" s="188" t="s">
        <v>65</v>
      </c>
      <c r="M60" s="190"/>
      <c r="N60" s="157">
        <v>45901</v>
      </c>
      <c r="O60" s="157"/>
      <c r="P60" s="157"/>
      <c r="Q60" s="157"/>
      <c r="R60" s="157"/>
      <c r="S60" s="157"/>
      <c r="T60" s="157"/>
      <c r="U60" s="157"/>
      <c r="V60" s="157"/>
      <c r="W60" s="157"/>
      <c r="X60" s="157"/>
    </row>
    <row r="61" spans="1:24" ht="27" customHeight="1">
      <c r="A61" s="187">
        <v>2025</v>
      </c>
      <c r="B61" s="187">
        <v>63</v>
      </c>
      <c r="C61" s="188" t="s">
        <v>253</v>
      </c>
      <c r="D61" s="188" t="s">
        <v>131</v>
      </c>
      <c r="E61" s="189" t="s">
        <v>132</v>
      </c>
      <c r="F61" s="189" t="s">
        <v>133</v>
      </c>
      <c r="G61" s="157">
        <v>45889</v>
      </c>
      <c r="H61" s="154">
        <v>45889</v>
      </c>
      <c r="I61" s="146" t="s">
        <v>65</v>
      </c>
      <c r="J61" s="146">
        <v>45876</v>
      </c>
      <c r="K61" s="148">
        <v>50000</v>
      </c>
      <c r="L61" s="149" t="s">
        <v>65</v>
      </c>
      <c r="M61" s="156"/>
      <c r="N61" s="140">
        <v>45891</v>
      </c>
      <c r="O61" s="140" t="s">
        <v>58</v>
      </c>
      <c r="P61" s="140" t="s">
        <v>93</v>
      </c>
      <c r="Q61" s="140">
        <v>45891</v>
      </c>
      <c r="R61" s="140">
        <v>45889</v>
      </c>
      <c r="S61" s="140" t="s">
        <v>133</v>
      </c>
      <c r="T61" s="140" t="s">
        <v>136</v>
      </c>
      <c r="U61" s="140" t="s">
        <v>134</v>
      </c>
      <c r="V61" s="140" t="s">
        <v>134</v>
      </c>
      <c r="W61" s="140" t="s">
        <v>135</v>
      </c>
      <c r="X61" s="140"/>
    </row>
    <row r="62" spans="1:24" ht="27" customHeight="1">
      <c r="A62" s="187">
        <v>2025</v>
      </c>
      <c r="B62" s="187">
        <v>64</v>
      </c>
      <c r="C62" s="188" t="s">
        <v>245</v>
      </c>
      <c r="D62" s="188" t="s">
        <v>137</v>
      </c>
      <c r="E62" s="189" t="s">
        <v>265</v>
      </c>
      <c r="F62" s="189" t="s">
        <v>393</v>
      </c>
      <c r="G62" s="157">
        <v>45901</v>
      </c>
      <c r="H62" s="154">
        <v>45991</v>
      </c>
      <c r="I62" s="146" t="s">
        <v>81</v>
      </c>
      <c r="J62" s="146"/>
      <c r="K62" s="148"/>
      <c r="L62" s="149" t="s">
        <v>249</v>
      </c>
      <c r="M62" s="156" t="s">
        <v>266</v>
      </c>
      <c r="N62" s="140"/>
      <c r="O62" s="140"/>
      <c r="P62" s="140"/>
      <c r="Q62" s="140"/>
      <c r="R62" s="140"/>
      <c r="S62" s="140"/>
      <c r="T62" s="140"/>
      <c r="U62" s="140"/>
      <c r="V62" s="140"/>
      <c r="W62" s="140"/>
      <c r="X62" s="140"/>
    </row>
    <row r="63" spans="1:24" ht="27" customHeight="1">
      <c r="A63" s="50">
        <v>2025</v>
      </c>
      <c r="B63" s="50">
        <v>65</v>
      </c>
      <c r="C63" s="181" t="s">
        <v>243</v>
      </c>
      <c r="D63" s="181" t="s">
        <v>313</v>
      </c>
      <c r="E63" s="182" t="s">
        <v>394</v>
      </c>
      <c r="F63" s="182" t="s">
        <v>395</v>
      </c>
      <c r="G63" s="183"/>
      <c r="H63" s="184"/>
      <c r="I63" s="184" t="s">
        <v>260</v>
      </c>
      <c r="J63" s="184"/>
      <c r="K63" s="185">
        <v>0</v>
      </c>
      <c r="L63" s="181" t="s">
        <v>249</v>
      </c>
      <c r="M63" s="186"/>
      <c r="N63" s="183">
        <v>45938</v>
      </c>
      <c r="O63" s="183"/>
      <c r="P63" s="183"/>
      <c r="Q63" s="183"/>
      <c r="R63" s="183"/>
      <c r="S63" s="183"/>
      <c r="T63" s="183"/>
      <c r="U63" s="183"/>
      <c r="V63" s="183"/>
      <c r="W63" s="183"/>
      <c r="X63" s="183"/>
    </row>
    <row r="64" spans="1:24" ht="27" customHeight="1">
      <c r="A64" s="50">
        <v>2025</v>
      </c>
      <c r="B64" s="50">
        <v>66</v>
      </c>
      <c r="C64" s="181" t="s">
        <v>331</v>
      </c>
      <c r="D64" s="181" t="s">
        <v>343</v>
      </c>
      <c r="E64" s="182" t="s">
        <v>344</v>
      </c>
      <c r="F64" s="182" t="s">
        <v>396</v>
      </c>
      <c r="G64" s="183">
        <v>45938</v>
      </c>
      <c r="H64" s="184">
        <v>45938</v>
      </c>
      <c r="I64" s="184" t="s">
        <v>81</v>
      </c>
      <c r="J64" s="184">
        <v>45938</v>
      </c>
      <c r="K64" s="185">
        <v>10000</v>
      </c>
      <c r="L64" s="181" t="s">
        <v>81</v>
      </c>
      <c r="M64" s="186" t="s">
        <v>397</v>
      </c>
      <c r="N64" s="183">
        <v>45938</v>
      </c>
      <c r="O64" s="183" t="s">
        <v>267</v>
      </c>
      <c r="P64" s="183" t="s">
        <v>398</v>
      </c>
      <c r="Q64" s="183">
        <v>45938</v>
      </c>
      <c r="R64" s="183">
        <v>45938</v>
      </c>
      <c r="S64" s="183" t="s">
        <v>306</v>
      </c>
      <c r="T64" s="183" t="s">
        <v>302</v>
      </c>
      <c r="U64" s="183" t="s">
        <v>303</v>
      </c>
      <c r="V64" s="183"/>
      <c r="W64" s="183"/>
      <c r="X64" s="183" t="s">
        <v>351</v>
      </c>
    </row>
    <row r="65" spans="1:24" s="46" customFormat="1" ht="27" customHeight="1">
      <c r="A65"/>
      <c r="B65"/>
      <c r="C65"/>
      <c r="D65"/>
      <c r="E65"/>
      <c r="F65"/>
      <c r="G65"/>
      <c r="H65"/>
      <c r="I65"/>
      <c r="J65"/>
      <c r="K65"/>
      <c r="L65"/>
      <c r="M65"/>
      <c r="N65"/>
      <c r="O65"/>
      <c r="P65"/>
      <c r="Q65"/>
      <c r="R65"/>
      <c r="S65"/>
      <c r="T65"/>
      <c r="U65"/>
      <c r="V65"/>
      <c r="W65"/>
      <c r="X65"/>
    </row>
    <row r="66" spans="1:24" s="46" customFormat="1" ht="27" customHeight="1">
      <c r="A66"/>
      <c r="B66"/>
      <c r="C66"/>
      <c r="D66"/>
      <c r="E66"/>
      <c r="F66"/>
      <c r="G66"/>
      <c r="H66"/>
      <c r="I66"/>
      <c r="J66"/>
      <c r="K66"/>
      <c r="L66"/>
      <c r="M66"/>
      <c r="N66"/>
      <c r="O66"/>
      <c r="P66"/>
      <c r="Q66"/>
      <c r="R66"/>
      <c r="S66"/>
      <c r="T66"/>
      <c r="U66"/>
      <c r="V66"/>
      <c r="W66"/>
      <c r="X66"/>
    </row>
    <row r="67" spans="1:24" ht="27" customHeight="1"/>
    <row r="68" spans="1:24" ht="27" customHeight="1"/>
    <row r="69" spans="1:24" ht="27" customHeight="1"/>
    <row r="70" spans="1:24" s="46" customFormat="1" ht="27" customHeight="1">
      <c r="A70"/>
      <c r="B70"/>
      <c r="C70"/>
      <c r="D70"/>
      <c r="E70"/>
      <c r="F70"/>
      <c r="G70"/>
      <c r="H70"/>
      <c r="I70"/>
      <c r="J70"/>
      <c r="K70"/>
      <c r="L70"/>
      <c r="M70"/>
      <c r="N70"/>
      <c r="O70"/>
      <c r="P70"/>
      <c r="Q70"/>
      <c r="R70"/>
      <c r="S70"/>
      <c r="T70"/>
      <c r="U70"/>
      <c r="V70"/>
      <c r="W70"/>
      <c r="X70"/>
    </row>
    <row r="71" spans="1:24" ht="27" customHeight="1"/>
    <row r="72" spans="1:24" ht="27" customHeight="1"/>
    <row r="73" spans="1:24" ht="27" customHeight="1"/>
    <row r="74" spans="1:24" ht="27" customHeight="1"/>
    <row r="75" spans="1:24" ht="27" customHeight="1"/>
    <row r="76" spans="1:24" ht="27" customHeight="1"/>
    <row r="77" spans="1:24" ht="27" customHeight="1"/>
    <row r="78" spans="1:24" ht="27" customHeight="1"/>
    <row r="79" spans="1:24" ht="27" customHeight="1"/>
    <row r="80" spans="1:24" ht="27" customHeight="1"/>
    <row r="81" ht="27" customHeight="1"/>
    <row r="82" ht="27" customHeight="1"/>
    <row r="83" ht="27" customHeight="1"/>
    <row r="84" ht="27" customHeight="1"/>
    <row r="85" ht="27" customHeight="1"/>
    <row r="86" ht="27" customHeight="1"/>
    <row r="87" ht="27" customHeight="1"/>
    <row r="88" ht="27" customHeight="1"/>
    <row r="89" ht="27" customHeight="1"/>
    <row r="90" ht="27" customHeight="1"/>
    <row r="91" ht="27" customHeight="1"/>
    <row r="92" ht="27" customHeight="1"/>
    <row r="93" ht="27" customHeight="1"/>
    <row r="94" ht="27" customHeight="1"/>
    <row r="95" ht="27" customHeight="1"/>
    <row r="96" ht="27" customHeight="1"/>
    <row r="97" ht="27" customHeight="1"/>
    <row r="98" ht="27" customHeight="1"/>
    <row r="99" ht="27" customHeight="1"/>
    <row r="100" ht="27" customHeight="1"/>
    <row r="101" ht="27" customHeight="1"/>
    <row r="102" ht="27" customHeight="1"/>
    <row r="103" ht="27" customHeight="1"/>
    <row r="104" ht="27" customHeight="1"/>
    <row r="105" ht="27" customHeight="1"/>
    <row r="106" ht="27" customHeight="1"/>
    <row r="107" ht="27" customHeight="1"/>
    <row r="108" ht="33.6" customHeight="1"/>
    <row r="109" ht="33.6" customHeight="1"/>
    <row r="110" ht="33.6" customHeight="1"/>
    <row r="111" ht="33.6" customHeight="1"/>
    <row r="112" ht="33.6" customHeight="1"/>
    <row r="113" spans="1:24" s="51" customFormat="1" ht="33.6" customHeight="1">
      <c r="A113"/>
      <c r="B113"/>
      <c r="C113"/>
      <c r="D113"/>
      <c r="E113"/>
      <c r="F113"/>
      <c r="G113"/>
      <c r="H113"/>
      <c r="I113"/>
      <c r="J113"/>
      <c r="K113"/>
      <c r="L113"/>
      <c r="M113"/>
      <c r="N113"/>
      <c r="O113"/>
      <c r="P113"/>
      <c r="Q113"/>
      <c r="R113"/>
      <c r="S113"/>
      <c r="T113"/>
      <c r="U113"/>
      <c r="V113"/>
      <c r="W113"/>
      <c r="X113"/>
    </row>
    <row r="114" spans="1:24" ht="33.6" customHeight="1"/>
    <row r="115" spans="1:24" ht="33.6" customHeight="1"/>
    <row r="116" spans="1:24" ht="33.6" customHeight="1"/>
    <row r="117" spans="1:24" ht="33.6" customHeight="1"/>
    <row r="118" spans="1:24" ht="33.6" customHeight="1"/>
    <row r="119" spans="1:24" ht="33.6" customHeight="1"/>
    <row r="120" spans="1:24" ht="33.6" customHeight="1"/>
    <row r="121" spans="1:24" ht="33.6" customHeight="1"/>
    <row r="122" spans="1:24" ht="33.6" customHeight="1"/>
    <row r="123" spans="1:24" ht="33.6" customHeight="1"/>
    <row r="124" spans="1:24" ht="33.6" customHeight="1"/>
    <row r="125" spans="1:24" ht="33.6" customHeight="1"/>
    <row r="126" spans="1:24" ht="33.6" customHeight="1"/>
    <row r="127" spans="1:24" ht="33.6" customHeight="1"/>
    <row r="128" spans="1:24" ht="33.6" customHeight="1"/>
    <row r="129" ht="33.6" customHeight="1"/>
    <row r="130" ht="33.6" customHeight="1"/>
    <row r="131" ht="33.6" customHeight="1"/>
    <row r="132" ht="33.6" customHeight="1"/>
    <row r="133" ht="33.6" customHeight="1"/>
    <row r="134" ht="33.6" customHeight="1"/>
    <row r="135" ht="33.6" customHeight="1"/>
    <row r="136" ht="33.6" customHeight="1"/>
    <row r="137" ht="33.6" customHeight="1"/>
    <row r="138" ht="33.6" customHeight="1"/>
    <row r="139" ht="33.6" customHeight="1"/>
    <row r="140" ht="33.6" customHeight="1"/>
    <row r="141" ht="33.6" customHeight="1"/>
    <row r="142" ht="33.6" customHeight="1"/>
    <row r="143" ht="33.6" customHeight="1"/>
    <row r="144" ht="33.6" customHeight="1"/>
    <row r="145" ht="33.6" customHeight="1"/>
    <row r="146" ht="33.6" customHeight="1"/>
  </sheetData>
  <autoFilter ref="A2:X135" xr:uid="{47F2F4B7-2578-4310-9416-17FD59F9E5BC}"/>
  <mergeCells count="2">
    <mergeCell ref="A1:M1"/>
    <mergeCell ref="N1:X1"/>
  </mergeCells>
  <phoneticPr fontId="6"/>
  <conditionalFormatting sqref="N2:X2 N1">
    <cfRule type="cellIs" dxfId="173" priority="11570" stopIfTrue="1" operator="equal">
      <formula>0</formula>
    </cfRule>
  </conditionalFormatting>
  <conditionalFormatting sqref="C36:C37 E36:M37 E41:M45 C41:C45 C3:C20 E3:M20 C47:C64 E48:M64">
    <cfRule type="expression" dxfId="26" priority="27" stopIfTrue="1">
      <formula>ISERROR</formula>
    </cfRule>
  </conditionalFormatting>
  <conditionalFormatting sqref="D26:H26 X38:X40 N28:X37 X27 X46:X47 C41:X45 D30:M33 D28:J29 N3:X26 C48:X64">
    <cfRule type="cellIs" dxfId="25" priority="22" stopIfTrue="1" operator="equal">
      <formula>0</formula>
    </cfRule>
  </conditionalFormatting>
  <conditionalFormatting sqref="D3:M25">
    <cfRule type="cellIs" dxfId="24" priority="24" stopIfTrue="1" operator="equal">
      <formula>0</formula>
    </cfRule>
  </conditionalFormatting>
  <conditionalFormatting sqref="E34:I34 K34:M34">
    <cfRule type="expression" dxfId="23" priority="17" stopIfTrue="1">
      <formula>ISERROR</formula>
    </cfRule>
  </conditionalFormatting>
  <conditionalFormatting sqref="E21:M25 E26:H26 K26:M26">
    <cfRule type="expression" dxfId="22" priority="23" stopIfTrue="1">
      <formula>ISERROR</formula>
    </cfRule>
  </conditionalFormatting>
  <conditionalFormatting sqref="E28:M28 M29">
    <cfRule type="expression" dxfId="21" priority="21" stopIfTrue="1">
      <formula>ISERROR</formula>
    </cfRule>
  </conditionalFormatting>
  <conditionalFormatting sqref="E30:M33">
    <cfRule type="expression" dxfId="20" priority="19" stopIfTrue="1">
      <formula>ISERROR</formula>
    </cfRule>
  </conditionalFormatting>
  <conditionalFormatting sqref="E35:M35">
    <cfRule type="expression" dxfId="19" priority="16" stopIfTrue="1">
      <formula>ISERROR</formula>
    </cfRule>
  </conditionalFormatting>
  <conditionalFormatting sqref="F16:J16">
    <cfRule type="expression" dxfId="18" priority="26" stopIfTrue="1">
      <formula>ISERROR</formula>
    </cfRule>
  </conditionalFormatting>
  <conditionalFormatting sqref="J29">
    <cfRule type="expression" dxfId="17" priority="20" stopIfTrue="1">
      <formula>ISERROR</formula>
    </cfRule>
  </conditionalFormatting>
  <conditionalFormatting sqref="K26:M26 M28:M29 K28:L28 K34:M34 C35:M37 C28:C34 D47 C3:C26">
    <cfRule type="cellIs" dxfId="16" priority="25" stopIfTrue="1" operator="equal">
      <formula>0</formula>
    </cfRule>
  </conditionalFormatting>
  <conditionalFormatting sqref="D34:I34 L28:L37 L3:L26 K18">
    <cfRule type="cellIs" dxfId="15" priority="18" stopIfTrue="1" operator="equal">
      <formula>0</formula>
    </cfRule>
  </conditionalFormatting>
  <conditionalFormatting sqref="L36:L37">
    <cfRule type="expression" dxfId="14" priority="15" stopIfTrue="1">
      <formula>ISERROR</formula>
    </cfRule>
  </conditionalFormatting>
  <conditionalFormatting sqref="C38 E38:M38">
    <cfRule type="expression" dxfId="13" priority="14" stopIfTrue="1">
      <formula>ISERROR</formula>
    </cfRule>
  </conditionalFormatting>
  <conditionalFormatting sqref="C38:W38">
    <cfRule type="cellIs" dxfId="12" priority="13" stopIfTrue="1" operator="equal">
      <formula>0</formula>
    </cfRule>
  </conditionalFormatting>
  <conditionalFormatting sqref="L38">
    <cfRule type="expression" dxfId="11" priority="12" stopIfTrue="1">
      <formula>ISERROR</formula>
    </cfRule>
  </conditionalFormatting>
  <conditionalFormatting sqref="C39 E39:M39">
    <cfRule type="expression" dxfId="10" priority="11" stopIfTrue="1">
      <formula>ISERROR</formula>
    </cfRule>
  </conditionalFormatting>
  <conditionalFormatting sqref="C39:W39">
    <cfRule type="cellIs" dxfId="9" priority="10" stopIfTrue="1" operator="equal">
      <formula>0</formula>
    </cfRule>
  </conditionalFormatting>
  <conditionalFormatting sqref="L39">
    <cfRule type="expression" dxfId="8" priority="9" stopIfTrue="1">
      <formula>ISERROR</formula>
    </cfRule>
  </conditionalFormatting>
  <conditionalFormatting sqref="C40 E40:M40">
    <cfRule type="expression" dxfId="7" priority="8" stopIfTrue="1">
      <formula>ISERROR</formula>
    </cfRule>
  </conditionalFormatting>
  <conditionalFormatting sqref="C40:W40">
    <cfRule type="cellIs" dxfId="6" priority="7" stopIfTrue="1" operator="equal">
      <formula>0</formula>
    </cfRule>
  </conditionalFormatting>
  <conditionalFormatting sqref="D27:H27 L27 N27:W27">
    <cfRule type="cellIs" dxfId="5" priority="4" stopIfTrue="1" operator="equal">
      <formula>0</formula>
    </cfRule>
  </conditionalFormatting>
  <conditionalFormatting sqref="E27:F27">
    <cfRule type="expression" dxfId="4" priority="5" stopIfTrue="1">
      <formula>ISERROR</formula>
    </cfRule>
  </conditionalFormatting>
  <conditionalFormatting sqref="M27 C27">
    <cfRule type="cellIs" dxfId="3" priority="6" stopIfTrue="1" operator="equal">
      <formula>0</formula>
    </cfRule>
  </conditionalFormatting>
  <conditionalFormatting sqref="C46 E46:M47 I26:J27">
    <cfRule type="expression" dxfId="2" priority="3" stopIfTrue="1">
      <formula>ISERROR</formula>
    </cfRule>
  </conditionalFormatting>
  <conditionalFormatting sqref="C46:W46 E47:W47 I26:J27">
    <cfRule type="cellIs" dxfId="1" priority="2" stopIfTrue="1" operator="equal">
      <formula>0</formula>
    </cfRule>
  </conditionalFormatting>
  <conditionalFormatting sqref="C47">
    <cfRule type="cellIs" dxfId="0"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dimension ref="A1:X49"/>
  <sheetViews>
    <sheetView view="pageBreakPreview" zoomScale="85" zoomScaleNormal="100" zoomScaleSheetLayoutView="85" workbookViewId="0">
      <selection activeCell="M21" sqref="M21:N21"/>
    </sheetView>
  </sheetViews>
  <sheetFormatPr defaultColWidth="9" defaultRowHeight="15"/>
  <cols>
    <col min="1" max="1" width="0.88671875" style="1" customWidth="1"/>
    <col min="2" max="3" width="4.6640625" style="1" customWidth="1"/>
    <col min="4" max="4" width="6.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56</v>
      </c>
    </row>
    <row r="2" spans="1:24" ht="21" customHeight="1">
      <c r="X2" s="2"/>
    </row>
    <row r="3" spans="1:24" ht="21" customHeight="1">
      <c r="P3" s="31" t="s">
        <v>1</v>
      </c>
      <c r="Q3" s="31"/>
      <c r="R3" s="31"/>
      <c r="S3" s="31"/>
      <c r="T3" s="64"/>
      <c r="U3" s="64"/>
      <c r="V3" s="64"/>
      <c r="W3" s="64"/>
      <c r="X3" s="64"/>
    </row>
    <row r="4" spans="1:24" ht="21" customHeight="1"/>
    <row r="5" spans="1:24" ht="21" customHeight="1">
      <c r="A5" s="65" t="s">
        <v>2</v>
      </c>
      <c r="B5" s="65"/>
      <c r="C5" s="65"/>
      <c r="D5" s="65"/>
      <c r="E5" s="65"/>
      <c r="F5" s="65"/>
      <c r="G5" s="65"/>
      <c r="H5" s="65"/>
      <c r="I5" s="65"/>
      <c r="J5" s="65"/>
      <c r="K5" s="65"/>
      <c r="L5" s="65"/>
      <c r="M5" s="65"/>
      <c r="N5" s="65"/>
      <c r="O5" s="65"/>
      <c r="P5" s="65"/>
      <c r="Q5" s="65"/>
      <c r="R5" s="65"/>
      <c r="S5" s="65"/>
      <c r="T5" s="65"/>
      <c r="U5" s="65"/>
      <c r="V5" s="65"/>
      <c r="W5" s="65"/>
      <c r="X5" s="65"/>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58" t="s">
        <v>3</v>
      </c>
      <c r="C7" s="58"/>
      <c r="D7" s="58"/>
      <c r="E7" s="6"/>
      <c r="F7" s="59" t="s">
        <v>400</v>
      </c>
      <c r="G7" s="60"/>
      <c r="H7" s="60"/>
      <c r="I7" s="60"/>
      <c r="J7" s="60"/>
      <c r="K7" s="60"/>
      <c r="L7" s="60"/>
      <c r="M7" s="60"/>
      <c r="N7" s="60"/>
      <c r="O7" s="60"/>
      <c r="P7" s="60"/>
      <c r="Q7" s="60"/>
      <c r="R7" s="60"/>
      <c r="S7" s="60"/>
      <c r="T7" s="60"/>
      <c r="U7" s="60"/>
      <c r="V7" s="60"/>
      <c r="W7" s="60"/>
      <c r="X7" s="66"/>
    </row>
    <row r="8" spans="1:24" ht="40.5" customHeight="1">
      <c r="A8" s="5"/>
      <c r="B8" s="58" t="s">
        <v>4</v>
      </c>
      <c r="C8" s="58"/>
      <c r="D8" s="58"/>
      <c r="E8" s="6"/>
      <c r="F8" s="25" t="s">
        <v>5</v>
      </c>
      <c r="G8" s="67" t="s">
        <v>401</v>
      </c>
      <c r="H8" s="68"/>
      <c r="I8" s="68"/>
      <c r="J8" s="68"/>
      <c r="K8" s="68"/>
      <c r="L8" s="68"/>
      <c r="M8" s="68"/>
      <c r="N8" s="68"/>
      <c r="O8" s="68"/>
      <c r="P8" s="68"/>
      <c r="Q8" s="68"/>
      <c r="R8" s="68"/>
      <c r="S8" s="68"/>
      <c r="T8" s="68"/>
      <c r="U8" s="68"/>
      <c r="V8" s="68"/>
      <c r="W8" s="68"/>
      <c r="X8" s="69"/>
    </row>
    <row r="9" spans="1:24" ht="24" customHeight="1">
      <c r="A9" s="5"/>
      <c r="B9" s="58" t="s">
        <v>6</v>
      </c>
      <c r="C9" s="58"/>
      <c r="D9" s="58"/>
      <c r="E9" s="6"/>
      <c r="F9" s="7"/>
      <c r="G9" s="70">
        <f>T22</f>
        <v>8415000</v>
      </c>
      <c r="H9" s="70"/>
      <c r="I9" s="70"/>
      <c r="J9" s="70"/>
      <c r="K9" s="70"/>
      <c r="L9" s="70"/>
      <c r="M9" s="71" t="s">
        <v>13</v>
      </c>
      <c r="N9" s="71"/>
      <c r="O9" s="71"/>
      <c r="P9" s="1" t="s">
        <v>14</v>
      </c>
      <c r="Q9" s="72" t="s">
        <v>15</v>
      </c>
      <c r="R9" s="72"/>
      <c r="S9" s="72">
        <f>T21</f>
        <v>765000</v>
      </c>
      <c r="T9" s="72"/>
      <c r="U9" s="72"/>
      <c r="V9" s="30" t="s">
        <v>16</v>
      </c>
      <c r="W9" s="8"/>
      <c r="X9" s="9"/>
    </row>
    <row r="10" spans="1:24" ht="24" customHeight="1">
      <c r="A10" s="5"/>
      <c r="B10" s="58" t="s">
        <v>7</v>
      </c>
      <c r="C10" s="58"/>
      <c r="D10" s="58"/>
      <c r="E10" s="6"/>
      <c r="F10" s="59" t="s">
        <v>403</v>
      </c>
      <c r="G10" s="60"/>
      <c r="H10" s="60"/>
      <c r="I10" s="60"/>
      <c r="J10" s="60"/>
      <c r="K10" s="60"/>
      <c r="L10" s="60"/>
      <c r="M10" s="61" t="s">
        <v>402</v>
      </c>
      <c r="N10" s="62"/>
      <c r="O10" s="62"/>
      <c r="P10" s="62"/>
      <c r="Q10" s="62"/>
      <c r="R10" s="62"/>
      <c r="S10" s="62"/>
      <c r="T10" s="62"/>
      <c r="U10" s="62"/>
      <c r="V10" s="62"/>
      <c r="W10" s="62"/>
      <c r="X10" s="63"/>
    </row>
    <row r="11" spans="1:24" ht="24" customHeight="1">
      <c r="A11" s="5"/>
      <c r="B11" s="58" t="s">
        <v>8</v>
      </c>
      <c r="C11" s="58"/>
      <c r="D11" s="58"/>
      <c r="E11" s="6"/>
      <c r="F11" s="73" t="s">
        <v>404</v>
      </c>
      <c r="G11" s="60"/>
      <c r="H11" s="60"/>
      <c r="I11" s="60"/>
      <c r="J11" s="60"/>
      <c r="K11" s="60"/>
      <c r="L11" s="60"/>
      <c r="M11" s="60"/>
      <c r="N11" s="60"/>
      <c r="O11" s="60"/>
      <c r="P11" s="60"/>
      <c r="Q11" s="60"/>
      <c r="R11" s="60"/>
      <c r="S11" s="60"/>
      <c r="T11" s="60"/>
      <c r="U11" s="60"/>
      <c r="V11" s="60"/>
      <c r="W11" s="60"/>
      <c r="X11" s="66"/>
    </row>
    <row r="12" spans="1:24" ht="24" customHeight="1">
      <c r="A12" s="5"/>
      <c r="B12" s="58" t="s">
        <v>9</v>
      </c>
      <c r="C12" s="58"/>
      <c r="D12" s="58"/>
      <c r="E12" s="6"/>
      <c r="F12" s="73" t="s">
        <v>406</v>
      </c>
      <c r="G12" s="60"/>
      <c r="H12" s="60"/>
      <c r="I12" s="60"/>
      <c r="J12" s="60"/>
      <c r="K12" s="60"/>
      <c r="L12" s="60"/>
      <c r="M12" s="60"/>
      <c r="N12" s="60"/>
      <c r="O12" s="60"/>
      <c r="P12" s="60"/>
      <c r="Q12" s="60"/>
      <c r="R12" s="60"/>
      <c r="S12" s="60"/>
      <c r="T12" s="60"/>
      <c r="U12" s="60"/>
      <c r="V12" s="60"/>
      <c r="W12" s="60"/>
      <c r="X12" s="66"/>
    </row>
    <row r="13" spans="1:24" ht="24" customHeight="1">
      <c r="A13" s="5"/>
      <c r="B13" s="58" t="s">
        <v>0</v>
      </c>
      <c r="C13" s="58"/>
      <c r="D13" s="58"/>
      <c r="E13" s="6"/>
      <c r="F13" s="74"/>
      <c r="G13" s="71"/>
      <c r="H13" s="71"/>
      <c r="I13" s="71"/>
      <c r="J13" s="71"/>
      <c r="K13" s="71"/>
      <c r="L13" s="71"/>
      <c r="M13" s="71"/>
      <c r="N13" s="71"/>
      <c r="O13" s="71"/>
      <c r="P13" s="71"/>
      <c r="Q13" s="71"/>
      <c r="R13" s="71"/>
      <c r="S13" s="71"/>
      <c r="T13" s="71"/>
      <c r="U13" s="71"/>
      <c r="V13" s="71"/>
      <c r="W13" s="71"/>
      <c r="X13" s="75"/>
    </row>
    <row r="14" spans="1:24" ht="24" customHeight="1">
      <c r="A14" s="10"/>
      <c r="B14" s="58" t="s">
        <v>17</v>
      </c>
      <c r="C14" s="58"/>
      <c r="D14" s="58"/>
      <c r="E14" s="11"/>
      <c r="F14" s="59"/>
      <c r="G14" s="60"/>
      <c r="H14" s="60"/>
      <c r="I14" s="60"/>
      <c r="J14" s="60"/>
      <c r="K14" s="60"/>
      <c r="L14" s="60"/>
      <c r="M14" s="60"/>
      <c r="N14" s="60"/>
      <c r="O14" s="60"/>
      <c r="P14" s="60"/>
      <c r="Q14" s="60"/>
      <c r="R14" s="60"/>
      <c r="S14" s="60"/>
      <c r="T14" s="60"/>
      <c r="U14" s="60"/>
      <c r="V14" s="60"/>
      <c r="W14" s="60"/>
      <c r="X14" s="66"/>
    </row>
    <row r="15" spans="1:24" ht="24" customHeight="1">
      <c r="A15" s="10"/>
      <c r="B15" s="76" t="s">
        <v>18</v>
      </c>
      <c r="C15" s="76"/>
      <c r="D15" s="76"/>
      <c r="E15" s="11"/>
      <c r="F15" s="79" t="s">
        <v>407</v>
      </c>
      <c r="G15" s="80"/>
      <c r="H15" s="80"/>
      <c r="I15" s="81"/>
      <c r="J15" s="79" t="s">
        <v>408</v>
      </c>
      <c r="K15" s="80"/>
      <c r="L15" s="80"/>
      <c r="M15" s="80"/>
      <c r="N15" s="79" t="s">
        <v>409</v>
      </c>
      <c r="O15" s="80"/>
      <c r="P15" s="80"/>
      <c r="Q15" s="80"/>
      <c r="R15" s="80"/>
      <c r="S15" s="81"/>
      <c r="T15" s="79" t="s">
        <v>410</v>
      </c>
      <c r="U15" s="80"/>
      <c r="V15" s="80"/>
      <c r="W15" s="80"/>
      <c r="X15" s="81"/>
    </row>
    <row r="16" spans="1:24" ht="24" customHeight="1">
      <c r="A16" s="12"/>
      <c r="B16" s="77"/>
      <c r="C16" s="77"/>
      <c r="D16" s="77"/>
      <c r="E16" s="13"/>
      <c r="F16" s="82" t="s">
        <v>19</v>
      </c>
      <c r="G16" s="83"/>
      <c r="H16" s="83"/>
      <c r="I16" s="83"/>
      <c r="J16" s="83"/>
      <c r="K16" s="83"/>
      <c r="L16" s="84"/>
      <c r="M16" s="82" t="s">
        <v>20</v>
      </c>
      <c r="N16" s="84"/>
      <c r="O16" s="14" t="s">
        <v>21</v>
      </c>
      <c r="P16" s="85" t="s">
        <v>22</v>
      </c>
      <c r="Q16" s="86"/>
      <c r="R16" s="87"/>
      <c r="S16" s="88"/>
      <c r="T16" s="82" t="s">
        <v>23</v>
      </c>
      <c r="U16" s="83"/>
      <c r="V16" s="83"/>
      <c r="W16" s="83"/>
      <c r="X16" s="15"/>
    </row>
    <row r="17" spans="1:24" ht="24" customHeight="1">
      <c r="A17" s="12"/>
      <c r="B17" s="77"/>
      <c r="C17" s="77"/>
      <c r="D17" s="77"/>
      <c r="E17" s="13"/>
      <c r="F17" s="89" t="s">
        <v>312</v>
      </c>
      <c r="G17" s="90"/>
      <c r="H17" s="90"/>
      <c r="I17" s="90"/>
      <c r="J17" s="90"/>
      <c r="K17" s="90"/>
      <c r="L17" s="91"/>
      <c r="M17" s="92">
        <v>1</v>
      </c>
      <c r="N17" s="93"/>
      <c r="O17" s="16" t="s">
        <v>24</v>
      </c>
      <c r="P17" s="94">
        <v>7650000</v>
      </c>
      <c r="Q17" s="94"/>
      <c r="R17" s="94"/>
      <c r="S17" s="94"/>
      <c r="T17" s="95">
        <v>7650000</v>
      </c>
      <c r="U17" s="96"/>
      <c r="V17" s="96"/>
      <c r="W17" s="96"/>
      <c r="X17" s="97"/>
    </row>
    <row r="18" spans="1:24" ht="24" customHeight="1">
      <c r="A18" s="12"/>
      <c r="B18" s="77"/>
      <c r="C18" s="77"/>
      <c r="D18" s="77"/>
      <c r="E18" s="13"/>
      <c r="F18" s="98"/>
      <c r="G18" s="99"/>
      <c r="H18" s="99"/>
      <c r="I18" s="99"/>
      <c r="J18" s="99"/>
      <c r="K18" s="99"/>
      <c r="L18" s="100"/>
      <c r="M18" s="92">
        <v>0</v>
      </c>
      <c r="N18" s="93"/>
      <c r="O18" s="17"/>
      <c r="P18" s="103">
        <v>0</v>
      </c>
      <c r="Q18" s="103"/>
      <c r="R18" s="103"/>
      <c r="S18" s="103"/>
      <c r="T18" s="104">
        <v>0</v>
      </c>
      <c r="U18" s="105"/>
      <c r="V18" s="105"/>
      <c r="W18" s="105"/>
      <c r="X18" s="106"/>
    </row>
    <row r="19" spans="1:24" ht="24" customHeight="1">
      <c r="A19" s="12"/>
      <c r="B19" s="77"/>
      <c r="C19" s="77"/>
      <c r="D19" s="77"/>
      <c r="E19" s="13"/>
      <c r="F19" s="98"/>
      <c r="G19" s="99"/>
      <c r="H19" s="99"/>
      <c r="I19" s="99"/>
      <c r="J19" s="99"/>
      <c r="K19" s="99"/>
      <c r="L19" s="100"/>
      <c r="M19" s="101">
        <v>0</v>
      </c>
      <c r="N19" s="102"/>
      <c r="O19" s="17"/>
      <c r="P19" s="103">
        <v>0</v>
      </c>
      <c r="Q19" s="103"/>
      <c r="R19" s="103"/>
      <c r="S19" s="103"/>
      <c r="T19" s="104">
        <v>0</v>
      </c>
      <c r="U19" s="105"/>
      <c r="V19" s="105"/>
      <c r="W19" s="105"/>
      <c r="X19" s="106"/>
    </row>
    <row r="20" spans="1:24" ht="24" customHeight="1">
      <c r="A20" s="12"/>
      <c r="B20" s="77"/>
      <c r="C20" s="77"/>
      <c r="D20" s="77"/>
      <c r="E20" s="13"/>
      <c r="F20" s="98" t="s">
        <v>25</v>
      </c>
      <c r="G20" s="99"/>
      <c r="H20" s="99"/>
      <c r="I20" s="99"/>
      <c r="J20" s="99"/>
      <c r="K20" s="99"/>
      <c r="L20" s="100"/>
      <c r="M20" s="108"/>
      <c r="N20" s="100"/>
      <c r="O20" s="18"/>
      <c r="P20" s="108"/>
      <c r="Q20" s="99"/>
      <c r="R20" s="99"/>
      <c r="S20" s="100"/>
      <c r="T20" s="104">
        <v>7650000</v>
      </c>
      <c r="U20" s="105"/>
      <c r="V20" s="105"/>
      <c r="W20" s="105"/>
      <c r="X20" s="106"/>
    </row>
    <row r="21" spans="1:24" ht="24" customHeight="1">
      <c r="A21" s="12"/>
      <c r="B21" s="77"/>
      <c r="C21" s="77"/>
      <c r="D21" s="77"/>
      <c r="E21" s="13"/>
      <c r="F21" s="98" t="s">
        <v>26</v>
      </c>
      <c r="G21" s="99"/>
      <c r="H21" s="99"/>
      <c r="I21" s="99"/>
      <c r="J21" s="99"/>
      <c r="K21" s="99"/>
      <c r="L21" s="100"/>
      <c r="M21" s="108"/>
      <c r="N21" s="100"/>
      <c r="O21" s="18"/>
      <c r="P21" s="108"/>
      <c r="Q21" s="99"/>
      <c r="R21" s="99"/>
      <c r="S21" s="100"/>
      <c r="T21" s="104">
        <v>765000</v>
      </c>
      <c r="U21" s="105"/>
      <c r="V21" s="105"/>
      <c r="W21" s="105"/>
      <c r="X21" s="106"/>
    </row>
    <row r="22" spans="1:24" ht="24" customHeight="1">
      <c r="A22" s="19"/>
      <c r="B22" s="78"/>
      <c r="C22" s="78"/>
      <c r="D22" s="78"/>
      <c r="E22" s="9"/>
      <c r="F22" s="109" t="s">
        <v>27</v>
      </c>
      <c r="G22" s="110"/>
      <c r="H22" s="110"/>
      <c r="I22" s="110"/>
      <c r="J22" s="110"/>
      <c r="K22" s="110"/>
      <c r="L22" s="111"/>
      <c r="M22" s="112"/>
      <c r="N22" s="111"/>
      <c r="O22" s="20"/>
      <c r="P22" s="112"/>
      <c r="Q22" s="110"/>
      <c r="R22" s="110"/>
      <c r="S22" s="111"/>
      <c r="T22" s="113">
        <v>8415000</v>
      </c>
      <c r="U22" s="114"/>
      <c r="V22" s="114"/>
      <c r="W22" s="114"/>
      <c r="X22" s="115"/>
    </row>
    <row r="23" spans="1:24" ht="24" customHeight="1">
      <c r="A23" s="12"/>
      <c r="B23" s="116" t="s">
        <v>30</v>
      </c>
      <c r="C23" s="116"/>
      <c r="D23" s="116"/>
      <c r="E23" s="13"/>
      <c r="F23" s="119"/>
      <c r="G23" s="120"/>
      <c r="H23" s="120"/>
      <c r="I23" s="120"/>
      <c r="J23" s="120"/>
      <c r="K23" s="120"/>
      <c r="L23" s="120"/>
      <c r="M23" s="120"/>
      <c r="N23" s="120"/>
      <c r="O23" s="120"/>
      <c r="P23" s="120"/>
      <c r="Q23" s="120"/>
      <c r="R23" s="120"/>
      <c r="S23" s="120"/>
      <c r="T23" s="120"/>
      <c r="U23" s="120"/>
      <c r="V23" s="120"/>
      <c r="W23" s="120"/>
      <c r="X23" s="121"/>
    </row>
    <row r="24" spans="1:24" ht="24" customHeight="1">
      <c r="A24" s="12"/>
      <c r="B24" s="117"/>
      <c r="C24" s="117"/>
      <c r="D24" s="117"/>
      <c r="E24" s="13"/>
      <c r="F24" s="122"/>
      <c r="G24" s="123"/>
      <c r="H24" s="123"/>
      <c r="I24" s="123"/>
      <c r="J24" s="123"/>
      <c r="K24" s="123"/>
      <c r="L24" s="123"/>
      <c r="M24" s="123"/>
      <c r="N24" s="123"/>
      <c r="O24" s="123"/>
      <c r="P24" s="123"/>
      <c r="Q24" s="123"/>
      <c r="R24" s="123"/>
      <c r="S24" s="123"/>
      <c r="T24" s="123"/>
      <c r="U24" s="123"/>
      <c r="V24" s="123"/>
      <c r="W24" s="123"/>
      <c r="X24" s="124"/>
    </row>
    <row r="25" spans="1:24" ht="24" customHeight="1">
      <c r="A25" s="12"/>
      <c r="B25" s="117"/>
      <c r="C25" s="117"/>
      <c r="D25" s="117"/>
      <c r="E25" s="13"/>
      <c r="F25" s="122"/>
      <c r="G25" s="123"/>
      <c r="H25" s="123"/>
      <c r="I25" s="123"/>
      <c r="J25" s="123"/>
      <c r="K25" s="123"/>
      <c r="L25" s="123"/>
      <c r="M25" s="123"/>
      <c r="N25" s="123"/>
      <c r="O25" s="123"/>
      <c r="P25" s="123"/>
      <c r="Q25" s="123"/>
      <c r="R25" s="123"/>
      <c r="S25" s="123"/>
      <c r="T25" s="123"/>
      <c r="U25" s="123"/>
      <c r="V25" s="123"/>
      <c r="W25" s="123"/>
      <c r="X25" s="124"/>
    </row>
    <row r="26" spans="1:24" ht="24" customHeight="1">
      <c r="A26" s="12"/>
      <c r="B26" s="117"/>
      <c r="C26" s="117"/>
      <c r="D26" s="117"/>
      <c r="E26" s="13"/>
      <c r="F26" s="122"/>
      <c r="G26" s="123"/>
      <c r="H26" s="123"/>
      <c r="I26" s="123"/>
      <c r="J26" s="123"/>
      <c r="K26" s="123"/>
      <c r="L26" s="123"/>
      <c r="M26" s="123"/>
      <c r="N26" s="123"/>
      <c r="O26" s="123"/>
      <c r="P26" s="123"/>
      <c r="Q26" s="123"/>
      <c r="R26" s="123"/>
      <c r="S26" s="123"/>
      <c r="T26" s="123"/>
      <c r="U26" s="123"/>
      <c r="V26" s="123"/>
      <c r="W26" s="123"/>
      <c r="X26" s="124"/>
    </row>
    <row r="27" spans="1:24" ht="24" customHeight="1">
      <c r="A27" s="19"/>
      <c r="B27" s="118"/>
      <c r="C27" s="118"/>
      <c r="D27" s="118"/>
      <c r="E27" s="9"/>
      <c r="F27" s="125"/>
      <c r="G27" s="126"/>
      <c r="H27" s="126"/>
      <c r="I27" s="126"/>
      <c r="J27" s="126"/>
      <c r="K27" s="126"/>
      <c r="L27" s="126"/>
      <c r="M27" s="126"/>
      <c r="N27" s="126"/>
      <c r="O27" s="126"/>
      <c r="P27" s="126"/>
      <c r="Q27" s="126"/>
      <c r="R27" s="126"/>
      <c r="S27" s="126"/>
      <c r="T27" s="126"/>
      <c r="U27" s="126"/>
      <c r="V27" s="126"/>
      <c r="W27" s="126"/>
      <c r="X27" s="127"/>
    </row>
    <row r="28" spans="1:24" ht="21" customHeight="1">
      <c r="A28" s="21"/>
      <c r="B28" s="21"/>
      <c r="C28" s="21"/>
      <c r="D28" s="21"/>
      <c r="E28" s="21"/>
      <c r="F28" s="21"/>
      <c r="G28" s="21"/>
      <c r="H28" s="21"/>
      <c r="I28" s="21"/>
      <c r="J28" s="21"/>
      <c r="K28" s="21"/>
      <c r="L28" s="21"/>
      <c r="M28" s="21"/>
      <c r="N28" s="21"/>
      <c r="O28" s="21"/>
      <c r="P28" s="21"/>
      <c r="Q28" s="21"/>
      <c r="R28" s="21"/>
      <c r="S28" s="21"/>
      <c r="T28" s="21"/>
      <c r="U28" s="21"/>
      <c r="V28" s="21"/>
      <c r="W28" s="21"/>
      <c r="X28" s="21"/>
    </row>
    <row r="29" spans="1:24" ht="16.5" customHeight="1">
      <c r="A29" s="21" t="s">
        <v>10</v>
      </c>
      <c r="B29" s="21"/>
      <c r="C29" s="21"/>
      <c r="D29" s="21"/>
      <c r="E29" s="21"/>
      <c r="F29" s="21"/>
      <c r="G29" s="21"/>
      <c r="H29" s="21"/>
      <c r="I29" s="21"/>
      <c r="J29" s="21"/>
      <c r="K29" s="21"/>
      <c r="L29" s="21"/>
      <c r="M29" s="128"/>
      <c r="N29" s="128"/>
      <c r="O29" s="128"/>
      <c r="P29" s="128"/>
      <c r="Q29" s="128"/>
      <c r="R29" s="128"/>
      <c r="S29" s="128"/>
      <c r="T29" s="128"/>
      <c r="U29" s="128"/>
      <c r="V29" s="26"/>
    </row>
    <row r="30" spans="1:24" ht="16.2">
      <c r="A30" s="21"/>
      <c r="B30" s="21"/>
      <c r="C30" s="21"/>
      <c r="D30" s="21"/>
      <c r="E30" s="21"/>
      <c r="F30" s="21"/>
      <c r="G30" s="21"/>
      <c r="H30" s="21"/>
      <c r="I30" s="21"/>
      <c r="J30" s="21"/>
      <c r="K30" s="21"/>
      <c r="L30" s="21"/>
      <c r="M30" s="21"/>
      <c r="N30" s="21"/>
      <c r="O30" s="21"/>
      <c r="P30" s="21"/>
      <c r="Q30" s="21"/>
      <c r="R30" s="21"/>
      <c r="S30" s="21"/>
      <c r="T30" s="21"/>
      <c r="U30" s="21"/>
      <c r="V30" s="21"/>
      <c r="W30" s="21"/>
      <c r="X30" s="21"/>
    </row>
    <row r="31" spans="1:24" ht="18.600000000000001">
      <c r="A31" s="21"/>
      <c r="B31" s="77" t="s">
        <v>411</v>
      </c>
      <c r="C31" s="77"/>
      <c r="D31" s="77"/>
      <c r="E31" s="77"/>
      <c r="F31" s="77"/>
      <c r="G31" s="77"/>
      <c r="H31" s="77"/>
      <c r="I31" s="77"/>
      <c r="J31" s="77"/>
      <c r="K31" s="77"/>
      <c r="L31" s="21"/>
      <c r="M31" s="22"/>
      <c r="N31" s="27"/>
      <c r="O31" s="28"/>
      <c r="P31" s="27"/>
      <c r="Q31" s="28"/>
      <c r="R31" s="28"/>
      <c r="S31" s="27"/>
      <c r="T31" s="28"/>
      <c r="U31" s="27"/>
      <c r="V31" s="27"/>
    </row>
    <row r="32" spans="1:24" ht="16.2">
      <c r="A32" s="21"/>
      <c r="B32" s="27"/>
      <c r="C32" s="27"/>
      <c r="D32" s="27"/>
      <c r="E32" s="21"/>
      <c r="F32" s="21"/>
      <c r="G32" s="21"/>
      <c r="H32" s="27"/>
      <c r="I32" s="21"/>
      <c r="J32" s="27"/>
      <c r="K32" s="27"/>
      <c r="L32" s="21"/>
      <c r="M32" s="21"/>
      <c r="N32" s="21"/>
      <c r="O32" s="21"/>
      <c r="P32" s="21"/>
      <c r="Q32" s="21"/>
      <c r="R32" s="21"/>
      <c r="S32" s="21"/>
      <c r="T32" s="21"/>
      <c r="U32" s="21"/>
      <c r="V32" s="21"/>
      <c r="W32" s="21"/>
      <c r="X32" s="21"/>
    </row>
    <row r="33" spans="1:24" ht="16.2">
      <c r="A33" s="21"/>
      <c r="B33" s="21"/>
      <c r="C33" s="21"/>
      <c r="D33" s="21"/>
      <c r="E33" s="21"/>
      <c r="F33" s="21"/>
      <c r="G33" s="21"/>
      <c r="H33" s="21"/>
      <c r="I33" s="21"/>
      <c r="J33" s="21"/>
      <c r="K33" s="21"/>
      <c r="L33" s="77" t="s">
        <v>11</v>
      </c>
      <c r="M33" s="77"/>
      <c r="N33" s="21"/>
      <c r="O33" s="21"/>
      <c r="P33" s="21"/>
      <c r="Q33" s="21"/>
      <c r="R33" s="21"/>
      <c r="S33" s="21"/>
      <c r="T33" s="21"/>
      <c r="U33" s="21"/>
      <c r="V33" s="21"/>
      <c r="W33" s="21"/>
      <c r="X33" s="21"/>
    </row>
    <row r="34" spans="1:24" ht="21" customHeight="1">
      <c r="A34" s="21"/>
      <c r="B34" s="21"/>
      <c r="C34" s="21"/>
      <c r="D34" s="21"/>
      <c r="E34" s="21"/>
      <c r="F34" s="21"/>
      <c r="G34" s="21"/>
      <c r="H34" s="21"/>
      <c r="I34" s="21"/>
      <c r="J34" s="21"/>
      <c r="K34" s="21"/>
      <c r="L34" s="78" t="s">
        <v>31</v>
      </c>
      <c r="M34" s="78"/>
      <c r="N34" s="23"/>
      <c r="O34" s="23" t="s">
        <v>12</v>
      </c>
      <c r="P34" s="29"/>
      <c r="Q34" s="107" t="s">
        <v>138</v>
      </c>
      <c r="R34" s="107"/>
      <c r="S34" s="107"/>
      <c r="T34" s="107"/>
      <c r="U34" s="107"/>
      <c r="V34" s="107"/>
      <c r="W34" s="107"/>
      <c r="X34" s="107"/>
    </row>
    <row r="35" spans="1:24" ht="21" customHeight="1">
      <c r="A35" s="21"/>
      <c r="B35" s="21"/>
      <c r="C35" s="21"/>
      <c r="D35" s="21"/>
      <c r="E35" s="21"/>
      <c r="F35" s="21"/>
      <c r="G35" s="21"/>
      <c r="H35" s="21"/>
      <c r="I35" s="21"/>
      <c r="J35" s="21"/>
      <c r="K35" s="21"/>
      <c r="L35" s="21"/>
      <c r="M35" s="21"/>
      <c r="N35" s="21"/>
      <c r="O35" s="21"/>
      <c r="P35" s="21"/>
      <c r="Q35" s="21"/>
      <c r="R35" s="21"/>
      <c r="S35" s="21"/>
      <c r="T35" s="21"/>
      <c r="U35" s="21"/>
      <c r="V35" s="21"/>
      <c r="W35" s="21"/>
      <c r="X35" s="24"/>
    </row>
    <row r="36" spans="1:24" ht="16.2">
      <c r="A36" s="21"/>
      <c r="B36" s="21"/>
      <c r="C36" s="21"/>
      <c r="D36" s="21"/>
      <c r="E36" s="21"/>
      <c r="F36" s="21"/>
      <c r="G36" s="21"/>
      <c r="H36" s="21"/>
      <c r="I36" s="21"/>
      <c r="J36" s="21"/>
      <c r="K36" s="21"/>
      <c r="L36" s="77"/>
      <c r="M36" s="77"/>
      <c r="N36" s="77"/>
      <c r="O36" s="77"/>
      <c r="P36" s="77"/>
      <c r="Q36" s="77"/>
      <c r="R36" s="77"/>
      <c r="S36" s="77"/>
      <c r="T36" s="77"/>
      <c r="U36" s="77"/>
      <c r="V36" s="77"/>
      <c r="W36" s="77"/>
      <c r="X36" s="77"/>
    </row>
    <row r="37" spans="1:24" ht="16.2">
      <c r="A37" s="21"/>
      <c r="B37" s="21"/>
      <c r="C37" s="21"/>
      <c r="D37" s="21"/>
      <c r="E37" s="21"/>
      <c r="F37" s="21"/>
      <c r="G37" s="21"/>
      <c r="H37" s="21"/>
      <c r="I37" s="21"/>
      <c r="J37" s="21"/>
      <c r="K37" s="21"/>
      <c r="L37" s="27"/>
      <c r="M37" s="27"/>
      <c r="N37" s="27"/>
      <c r="O37" s="27"/>
      <c r="P37" s="27"/>
      <c r="Q37" s="27"/>
      <c r="R37" s="27"/>
      <c r="S37" s="27"/>
      <c r="T37" s="27"/>
      <c r="U37" s="27"/>
      <c r="V37" s="27"/>
      <c r="W37" s="27"/>
      <c r="X37" s="27"/>
    </row>
    <row r="38" spans="1:24" ht="16.2">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2">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2">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2">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2">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2">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2">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6.2">
      <c r="A45" s="21"/>
      <c r="B45" s="21"/>
      <c r="C45" s="21"/>
      <c r="D45" s="21"/>
      <c r="E45" s="21"/>
      <c r="F45" s="21"/>
      <c r="G45" s="21"/>
      <c r="H45" s="21"/>
      <c r="I45" s="21"/>
      <c r="J45" s="21"/>
      <c r="K45" s="21"/>
      <c r="L45" s="27"/>
      <c r="M45" s="27"/>
      <c r="N45" s="27"/>
      <c r="O45" s="27"/>
      <c r="P45" s="27"/>
      <c r="Q45" s="27"/>
      <c r="R45" s="27"/>
      <c r="S45" s="27"/>
      <c r="T45" s="27"/>
      <c r="U45" s="27"/>
      <c r="V45" s="27"/>
      <c r="W45" s="27"/>
      <c r="X45" s="27"/>
    </row>
    <row r="46" spans="1:24" ht="15.75" customHeight="1">
      <c r="A46" s="21"/>
      <c r="B46" s="21"/>
      <c r="C46" s="21"/>
      <c r="D46" s="21"/>
      <c r="E46" s="21"/>
      <c r="F46" s="21"/>
      <c r="G46" s="21"/>
      <c r="H46" s="21"/>
      <c r="I46" s="21"/>
      <c r="J46" s="21"/>
      <c r="K46" s="21"/>
      <c r="L46" s="129"/>
      <c r="M46" s="129"/>
      <c r="N46" s="129"/>
      <c r="O46" s="129"/>
      <c r="P46" s="129"/>
      <c r="Q46" s="129"/>
      <c r="R46" s="129"/>
      <c r="S46" s="129"/>
      <c r="T46" s="129"/>
      <c r="U46" s="129"/>
      <c r="V46" s="129"/>
      <c r="W46" s="129"/>
      <c r="X46" s="129"/>
    </row>
    <row r="47" spans="1:24" ht="16.2">
      <c r="A47" s="21"/>
      <c r="B47" s="21"/>
      <c r="C47" s="21"/>
      <c r="D47" s="21"/>
      <c r="E47" s="21"/>
      <c r="F47" s="21"/>
      <c r="G47" s="21"/>
      <c r="H47" s="21"/>
      <c r="I47" s="21"/>
      <c r="J47" s="21"/>
      <c r="K47" s="21"/>
      <c r="L47" s="21"/>
      <c r="M47" s="21"/>
      <c r="N47" s="129" t="s">
        <v>28</v>
      </c>
      <c r="O47" s="129"/>
      <c r="P47" s="129"/>
      <c r="Q47" s="130" t="s">
        <v>29</v>
      </c>
      <c r="R47" s="130"/>
      <c r="S47" s="130"/>
      <c r="T47" s="130"/>
      <c r="U47" s="130" t="s">
        <v>29</v>
      </c>
      <c r="V47" s="130"/>
      <c r="W47" s="130"/>
      <c r="X47" s="130"/>
    </row>
    <row r="48" spans="1:24" ht="16.2">
      <c r="A48" s="21"/>
      <c r="B48" s="21"/>
      <c r="C48" s="21"/>
      <c r="D48" s="21"/>
      <c r="E48" s="21"/>
      <c r="F48" s="21"/>
      <c r="G48" s="21"/>
      <c r="H48" s="21"/>
      <c r="I48" s="21"/>
      <c r="J48" s="21"/>
      <c r="K48" s="21"/>
      <c r="M48" s="27"/>
      <c r="N48" s="27"/>
      <c r="O48" s="21"/>
      <c r="P48" s="21"/>
      <c r="Q48" s="21"/>
      <c r="R48" s="21"/>
      <c r="S48" s="21"/>
      <c r="T48" s="21"/>
      <c r="U48" s="21"/>
      <c r="V48" s="21"/>
      <c r="W48" s="21"/>
      <c r="X48" s="21"/>
    </row>
    <row r="49" spans="1:24" ht="16.2">
      <c r="A49" s="21"/>
      <c r="B49" s="21"/>
      <c r="C49" s="21"/>
      <c r="D49" s="21"/>
      <c r="E49" s="21"/>
      <c r="F49" s="21"/>
      <c r="G49" s="21"/>
      <c r="H49" s="21"/>
      <c r="I49" s="21"/>
      <c r="J49" s="21"/>
      <c r="K49" s="21"/>
      <c r="M49" s="21"/>
      <c r="N49" s="21"/>
      <c r="O49" s="21"/>
      <c r="P49" s="21"/>
      <c r="Q49" s="21"/>
      <c r="R49" s="21"/>
      <c r="S49" s="21"/>
      <c r="T49" s="21"/>
      <c r="U49" s="21"/>
      <c r="V49" s="21"/>
      <c r="W49" s="21"/>
      <c r="X49" s="21"/>
    </row>
  </sheetData>
  <mergeCells count="73">
    <mergeCell ref="N47:P47"/>
    <mergeCell ref="Q47:T47"/>
    <mergeCell ref="U47:X47"/>
    <mergeCell ref="L36:M36"/>
    <mergeCell ref="N36:P36"/>
    <mergeCell ref="Q36:T36"/>
    <mergeCell ref="U36:X36"/>
    <mergeCell ref="L46:M46"/>
    <mergeCell ref="N46:P46"/>
    <mergeCell ref="Q46:T46"/>
    <mergeCell ref="U46:X46"/>
    <mergeCell ref="B23:D27"/>
    <mergeCell ref="F23:X27"/>
    <mergeCell ref="M29:U29"/>
    <mergeCell ref="B31:K31"/>
    <mergeCell ref="F20:L20"/>
    <mergeCell ref="M20:N20"/>
    <mergeCell ref="P20:S20"/>
    <mergeCell ref="T20:X20"/>
    <mergeCell ref="L34:M34"/>
    <mergeCell ref="Q34:X34"/>
    <mergeCell ref="F21:L21"/>
    <mergeCell ref="M21:N21"/>
    <mergeCell ref="P21:S21"/>
    <mergeCell ref="T21:X21"/>
    <mergeCell ref="F22:L22"/>
    <mergeCell ref="M22:N22"/>
    <mergeCell ref="P22:S22"/>
    <mergeCell ref="T22:X22"/>
    <mergeCell ref="L33:M33"/>
    <mergeCell ref="M19:N19"/>
    <mergeCell ref="P19:S19"/>
    <mergeCell ref="T19:X19"/>
    <mergeCell ref="F18:L18"/>
    <mergeCell ref="M18:N18"/>
    <mergeCell ref="P18:S18"/>
    <mergeCell ref="T18:X18"/>
    <mergeCell ref="B14:D14"/>
    <mergeCell ref="F14:X14"/>
    <mergeCell ref="B15:D22"/>
    <mergeCell ref="F15:I15"/>
    <mergeCell ref="J15:M15"/>
    <mergeCell ref="N15:S15"/>
    <mergeCell ref="T15:X15"/>
    <mergeCell ref="F16:L16"/>
    <mergeCell ref="M16:N16"/>
    <mergeCell ref="P16:S16"/>
    <mergeCell ref="T16:W16"/>
    <mergeCell ref="F17:L17"/>
    <mergeCell ref="M17:N17"/>
    <mergeCell ref="P17:S17"/>
    <mergeCell ref="T17:X17"/>
    <mergeCell ref="F19:L19"/>
    <mergeCell ref="B11:D11"/>
    <mergeCell ref="F11:X11"/>
    <mergeCell ref="B12:D12"/>
    <mergeCell ref="F12:X12"/>
    <mergeCell ref="B13:D13"/>
    <mergeCell ref="F13:X13"/>
    <mergeCell ref="B10:D10"/>
    <mergeCell ref="F10:L10"/>
    <mergeCell ref="M10:X10"/>
    <mergeCell ref="T3:X3"/>
    <mergeCell ref="A5:X5"/>
    <mergeCell ref="B7:D7"/>
    <mergeCell ref="F7:X7"/>
    <mergeCell ref="B8:D8"/>
    <mergeCell ref="G8:X8"/>
    <mergeCell ref="B9:D9"/>
    <mergeCell ref="G9:L9"/>
    <mergeCell ref="M9:O9"/>
    <mergeCell ref="Q9:R9"/>
    <mergeCell ref="S9:U9"/>
  </mergeCells>
  <phoneticPr fontId="6"/>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1FEDD-73B4-49E7-9600-1A35E978E116}">
  <sheetPr codeName="Sheet2"/>
  <dimension ref="A1:W16"/>
  <sheetViews>
    <sheetView topLeftCell="A2" zoomScale="133" workbookViewId="0">
      <selection activeCell="B1" sqref="B1"/>
    </sheetView>
  </sheetViews>
  <sheetFormatPr defaultRowHeight="12"/>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5.109375" bestFit="1" customWidth="1"/>
    <col min="10" max="10" width="20" customWidth="1"/>
    <col min="11" max="11" width="13.21875" customWidth="1"/>
    <col min="12" max="12" width="17.44140625" customWidth="1"/>
    <col min="13" max="13" width="15.109375" customWidth="1"/>
    <col min="14" max="14" width="15.109375" bestFit="1" customWidth="1"/>
    <col min="15" max="15" width="20" bestFit="1" customWidth="1"/>
    <col min="16" max="16" width="54.44140625" bestFit="1" customWidth="1"/>
    <col min="17" max="17" width="17.5546875" bestFit="1" customWidth="1"/>
    <col min="18" max="18" width="15.109375" bestFit="1" customWidth="1"/>
    <col min="19" max="19" width="17.5546875" bestFit="1" customWidth="1"/>
    <col min="20" max="23" width="27" bestFit="1" customWidth="1"/>
  </cols>
  <sheetData>
    <row r="1" spans="1:23" ht="81.599999999999994" customHeight="1"/>
    <row r="2" spans="1:23" s="37" customFormat="1" ht="70.5" customHeight="1">
      <c r="A2" s="131" t="s">
        <v>317</v>
      </c>
      <c r="B2" s="131" t="s">
        <v>318</v>
      </c>
      <c r="C2" s="131" t="s">
        <v>319</v>
      </c>
      <c r="D2" s="38" t="s">
        <v>320</v>
      </c>
      <c r="E2" s="38" t="s">
        <v>35</v>
      </c>
      <c r="F2" s="38" t="s">
        <v>36</v>
      </c>
      <c r="G2" s="39" t="s">
        <v>38</v>
      </c>
      <c r="H2" s="39" t="s">
        <v>39</v>
      </c>
      <c r="I2" s="40" t="s">
        <v>321</v>
      </c>
      <c r="J2" s="43" t="s">
        <v>322</v>
      </c>
      <c r="K2" s="44" t="s">
        <v>46</v>
      </c>
      <c r="L2" s="44" t="s">
        <v>323</v>
      </c>
      <c r="M2" s="44" t="s">
        <v>324</v>
      </c>
      <c r="N2" s="44" t="s">
        <v>325</v>
      </c>
      <c r="O2" s="35" t="s">
        <v>49</v>
      </c>
      <c r="P2" s="36" t="s">
        <v>50</v>
      </c>
      <c r="Q2" s="36" t="s">
        <v>51</v>
      </c>
      <c r="R2" s="36" t="s">
        <v>52</v>
      </c>
      <c r="S2" s="36" t="s">
        <v>326</v>
      </c>
      <c r="T2" s="36" t="s">
        <v>327</v>
      </c>
      <c r="U2" s="36" t="s">
        <v>328</v>
      </c>
      <c r="V2" s="36" t="s">
        <v>329</v>
      </c>
      <c r="W2" s="36" t="s">
        <v>330</v>
      </c>
    </row>
    <row r="3" spans="1:23" ht="14.4">
      <c r="A3" s="132">
        <v>301</v>
      </c>
      <c r="B3" s="132">
        <v>1</v>
      </c>
      <c r="C3" s="132"/>
      <c r="D3" s="132" t="s">
        <v>331</v>
      </c>
      <c r="E3" s="133" t="s">
        <v>332</v>
      </c>
      <c r="F3" s="133" t="s">
        <v>333</v>
      </c>
      <c r="G3" s="133">
        <v>45938</v>
      </c>
      <c r="H3" s="133">
        <v>45941</v>
      </c>
      <c r="I3" s="132">
        <v>11000</v>
      </c>
      <c r="J3" s="133">
        <v>45965</v>
      </c>
      <c r="K3" s="133" t="s">
        <v>267</v>
      </c>
      <c r="L3" s="133" t="s">
        <v>334</v>
      </c>
      <c r="M3" s="132" t="s">
        <v>335</v>
      </c>
      <c r="N3" s="133">
        <v>45938</v>
      </c>
      <c r="O3" s="133">
        <v>45938</v>
      </c>
      <c r="P3" s="132" t="s">
        <v>336</v>
      </c>
      <c r="Q3" s="132" t="s">
        <v>302</v>
      </c>
      <c r="R3" s="132" t="s">
        <v>303</v>
      </c>
      <c r="S3" s="132" t="s">
        <v>337</v>
      </c>
      <c r="T3" s="132" t="s">
        <v>338</v>
      </c>
      <c r="U3" s="132" t="s">
        <v>339</v>
      </c>
      <c r="V3" s="132" t="s">
        <v>340</v>
      </c>
      <c r="W3" s="132" t="s">
        <v>341</v>
      </c>
    </row>
    <row r="4" spans="1:23" ht="14.4">
      <c r="A4" s="132">
        <v>302</v>
      </c>
      <c r="B4" s="132">
        <v>2</v>
      </c>
      <c r="C4" s="132"/>
      <c r="D4" s="132" t="s">
        <v>342</v>
      </c>
      <c r="E4" s="133" t="s">
        <v>343</v>
      </c>
      <c r="F4" s="133" t="s">
        <v>344</v>
      </c>
      <c r="G4" s="133">
        <v>45938</v>
      </c>
      <c r="H4" s="133">
        <v>45938</v>
      </c>
      <c r="I4" s="132">
        <v>11000</v>
      </c>
      <c r="J4" s="133">
        <v>45965</v>
      </c>
      <c r="K4" s="133" t="s">
        <v>345</v>
      </c>
      <c r="L4" s="133" t="s">
        <v>346</v>
      </c>
      <c r="M4" s="132" t="s">
        <v>347</v>
      </c>
      <c r="N4" s="133">
        <v>45938</v>
      </c>
      <c r="O4" s="133">
        <v>45938</v>
      </c>
      <c r="P4" s="132" t="s">
        <v>103</v>
      </c>
      <c r="Q4" s="132" t="s">
        <v>104</v>
      </c>
      <c r="R4" s="132" t="s">
        <v>105</v>
      </c>
      <c r="S4" s="132" t="s">
        <v>337</v>
      </c>
      <c r="T4" s="132" t="s">
        <v>338</v>
      </c>
      <c r="U4" s="132"/>
      <c r="V4" s="132"/>
      <c r="W4" s="132"/>
    </row>
    <row r="5" spans="1:23" ht="14.4">
      <c r="A5" s="132">
        <v>303</v>
      </c>
      <c r="B5" s="132">
        <v>3</v>
      </c>
      <c r="C5" s="132"/>
      <c r="D5" s="132" t="s">
        <v>331</v>
      </c>
      <c r="E5" s="132" t="s">
        <v>332</v>
      </c>
      <c r="F5" s="132" t="s">
        <v>333</v>
      </c>
      <c r="G5" s="133">
        <v>45938</v>
      </c>
      <c r="H5" s="133">
        <v>45938</v>
      </c>
      <c r="I5" s="132">
        <v>11000</v>
      </c>
      <c r="J5" s="133">
        <v>45965</v>
      </c>
      <c r="K5" s="132" t="s">
        <v>267</v>
      </c>
      <c r="L5" s="132" t="s">
        <v>348</v>
      </c>
      <c r="M5" s="132" t="s">
        <v>349</v>
      </c>
      <c r="N5" s="133">
        <v>45938</v>
      </c>
      <c r="O5" s="133">
        <v>45938</v>
      </c>
      <c r="P5" s="132" t="s">
        <v>306</v>
      </c>
      <c r="Q5" s="132" t="s">
        <v>302</v>
      </c>
      <c r="R5" s="132" t="s">
        <v>303</v>
      </c>
      <c r="S5" s="132" t="s">
        <v>350</v>
      </c>
      <c r="T5" s="132" t="s">
        <v>351</v>
      </c>
      <c r="U5" s="132"/>
      <c r="V5" s="132"/>
      <c r="W5" s="132"/>
    </row>
    <row r="6" spans="1:23" ht="14.4">
      <c r="A6" s="132">
        <v>305</v>
      </c>
      <c r="B6" s="132">
        <v>4</v>
      </c>
      <c r="C6" s="132"/>
      <c r="D6" s="132" t="s">
        <v>342</v>
      </c>
      <c r="E6" s="132" t="s">
        <v>343</v>
      </c>
      <c r="F6" s="132" t="s">
        <v>344</v>
      </c>
      <c r="G6" s="133">
        <v>45938</v>
      </c>
      <c r="H6" s="133">
        <v>45938</v>
      </c>
      <c r="I6" s="132">
        <v>11000</v>
      </c>
      <c r="J6" s="133">
        <v>45965</v>
      </c>
      <c r="K6" s="132" t="s">
        <v>345</v>
      </c>
      <c r="L6" s="132" t="s">
        <v>346</v>
      </c>
      <c r="M6" s="132" t="s">
        <v>347</v>
      </c>
      <c r="N6" s="133">
        <v>45938</v>
      </c>
      <c r="O6" s="133">
        <v>45938</v>
      </c>
      <c r="P6" s="132" t="s">
        <v>103</v>
      </c>
      <c r="Q6" s="132" t="s">
        <v>104</v>
      </c>
      <c r="R6" s="132" t="s">
        <v>105</v>
      </c>
      <c r="S6" s="132"/>
      <c r="T6" s="132"/>
      <c r="U6" s="132"/>
      <c r="V6" s="132"/>
      <c r="W6" s="132"/>
    </row>
    <row r="7" spans="1:23" ht="14.4">
      <c r="A7" s="132">
        <v>306</v>
      </c>
      <c r="B7" s="132"/>
      <c r="C7" s="132"/>
      <c r="D7" s="132" t="s">
        <v>342</v>
      </c>
      <c r="E7" s="132" t="s">
        <v>343</v>
      </c>
      <c r="F7" s="132" t="s">
        <v>344</v>
      </c>
      <c r="G7" s="133">
        <v>45938</v>
      </c>
      <c r="H7" s="133">
        <v>45938</v>
      </c>
      <c r="I7" s="132">
        <v>11000</v>
      </c>
      <c r="J7" s="133">
        <v>45965</v>
      </c>
      <c r="K7" s="132" t="s">
        <v>345</v>
      </c>
      <c r="L7" s="132" t="s">
        <v>346</v>
      </c>
      <c r="M7" s="132" t="s">
        <v>347</v>
      </c>
      <c r="N7" s="133">
        <v>45938</v>
      </c>
      <c r="O7" s="133">
        <v>45938</v>
      </c>
      <c r="P7" s="132" t="s">
        <v>103</v>
      </c>
      <c r="Q7" s="132" t="s">
        <v>104</v>
      </c>
      <c r="R7" s="132" t="s">
        <v>105</v>
      </c>
      <c r="S7" s="132"/>
      <c r="T7" s="132"/>
      <c r="U7" s="132"/>
      <c r="V7" s="132"/>
      <c r="W7" s="132"/>
    </row>
    <row r="8" spans="1:23" ht="14.4">
      <c r="A8" s="132">
        <v>307</v>
      </c>
      <c r="B8" s="132"/>
      <c r="C8" s="132"/>
      <c r="D8" s="132" t="s">
        <v>342</v>
      </c>
      <c r="E8" s="132" t="s">
        <v>343</v>
      </c>
      <c r="F8" s="132" t="s">
        <v>344</v>
      </c>
      <c r="G8" s="133">
        <v>45938</v>
      </c>
      <c r="H8" s="133">
        <v>45940</v>
      </c>
      <c r="I8" s="132">
        <v>11000</v>
      </c>
      <c r="J8" s="133">
        <v>45965</v>
      </c>
      <c r="K8" s="132" t="s">
        <v>345</v>
      </c>
      <c r="L8" s="132" t="s">
        <v>346</v>
      </c>
      <c r="M8" s="132" t="s">
        <v>347</v>
      </c>
      <c r="N8" s="133">
        <v>45938</v>
      </c>
      <c r="O8" s="133">
        <v>45938</v>
      </c>
      <c r="P8" s="132" t="s">
        <v>103</v>
      </c>
      <c r="Q8" s="132" t="s">
        <v>104</v>
      </c>
      <c r="R8" s="132" t="s">
        <v>105</v>
      </c>
      <c r="S8" s="132"/>
      <c r="T8" s="132"/>
      <c r="U8" s="132"/>
      <c r="V8" s="132"/>
      <c r="W8" s="132"/>
    </row>
    <row r="9" spans="1:23" ht="14.4">
      <c r="A9" s="132">
        <v>308</v>
      </c>
      <c r="B9" s="132">
        <v>5</v>
      </c>
      <c r="C9" s="132"/>
      <c r="D9" s="132" t="s">
        <v>331</v>
      </c>
      <c r="E9" s="132" t="s">
        <v>332</v>
      </c>
      <c r="F9" s="132" t="s">
        <v>333</v>
      </c>
      <c r="G9" s="133">
        <v>45938</v>
      </c>
      <c r="H9" s="133">
        <v>45940</v>
      </c>
      <c r="I9" s="132">
        <v>11000</v>
      </c>
      <c r="J9" s="133">
        <v>45965</v>
      </c>
      <c r="K9" s="132" t="s">
        <v>267</v>
      </c>
      <c r="L9" s="132" t="s">
        <v>334</v>
      </c>
      <c r="M9" s="132" t="s">
        <v>335</v>
      </c>
      <c r="N9" s="133">
        <v>45938</v>
      </c>
      <c r="O9" s="133">
        <v>45938</v>
      </c>
      <c r="P9" s="132" t="s">
        <v>352</v>
      </c>
      <c r="Q9" s="132" t="s">
        <v>302</v>
      </c>
      <c r="R9" s="132" t="s">
        <v>303</v>
      </c>
      <c r="S9" s="132"/>
      <c r="T9" s="132"/>
      <c r="U9" s="132"/>
      <c r="V9" s="132"/>
      <c r="W9" s="132"/>
    </row>
    <row r="10" spans="1:23" ht="14.4">
      <c r="A10" s="132">
        <v>309</v>
      </c>
      <c r="B10" s="132">
        <v>6</v>
      </c>
      <c r="C10" s="132"/>
      <c r="D10" s="132" t="s">
        <v>342</v>
      </c>
      <c r="E10" s="132" t="s">
        <v>343</v>
      </c>
      <c r="F10" s="132" t="s">
        <v>344</v>
      </c>
      <c r="G10" s="133">
        <v>45938</v>
      </c>
      <c r="H10" s="133">
        <v>45941</v>
      </c>
      <c r="I10" s="132">
        <v>11000</v>
      </c>
      <c r="J10" s="133">
        <v>45965</v>
      </c>
      <c r="K10" s="132" t="s">
        <v>345</v>
      </c>
      <c r="L10" s="132" t="s">
        <v>346</v>
      </c>
      <c r="M10" s="132" t="s">
        <v>347</v>
      </c>
      <c r="N10" s="133">
        <v>45938</v>
      </c>
      <c r="O10" s="133">
        <v>45938</v>
      </c>
      <c r="P10" s="132" t="s">
        <v>353</v>
      </c>
      <c r="Q10" s="132" t="s">
        <v>104</v>
      </c>
      <c r="R10" s="132" t="s">
        <v>105</v>
      </c>
      <c r="S10" s="132"/>
      <c r="T10" s="132"/>
      <c r="U10" s="132"/>
      <c r="V10" s="132"/>
      <c r="W10" s="132"/>
    </row>
    <row r="11" spans="1:23" ht="14.4">
      <c r="A11" s="132">
        <v>310</v>
      </c>
      <c r="B11" s="132"/>
      <c r="C11" s="132"/>
      <c r="D11" s="132" t="s">
        <v>342</v>
      </c>
      <c r="E11" s="132" t="s">
        <v>343</v>
      </c>
      <c r="F11" s="132" t="s">
        <v>344</v>
      </c>
      <c r="G11" s="133">
        <v>45938</v>
      </c>
      <c r="H11" s="133">
        <v>45941</v>
      </c>
      <c r="I11" s="132">
        <v>11000</v>
      </c>
      <c r="J11" s="133">
        <v>45965</v>
      </c>
      <c r="K11" s="132" t="s">
        <v>345</v>
      </c>
      <c r="L11" s="132" t="s">
        <v>346</v>
      </c>
      <c r="M11" s="132" t="s">
        <v>347</v>
      </c>
      <c r="N11" s="133">
        <v>45938</v>
      </c>
      <c r="O11" s="133">
        <v>45938</v>
      </c>
      <c r="P11" s="132" t="s">
        <v>353</v>
      </c>
      <c r="Q11" s="132" t="s">
        <v>104</v>
      </c>
      <c r="R11" s="132" t="s">
        <v>105</v>
      </c>
      <c r="S11" s="132" t="s">
        <v>337</v>
      </c>
      <c r="T11" s="132" t="s">
        <v>338</v>
      </c>
      <c r="U11" s="132" t="s">
        <v>354</v>
      </c>
      <c r="V11" s="132" t="s">
        <v>355</v>
      </c>
      <c r="W11" s="132" t="s">
        <v>356</v>
      </c>
    </row>
    <row r="12" spans="1:23" ht="14.4">
      <c r="A12" s="132">
        <v>311</v>
      </c>
      <c r="B12" s="132"/>
      <c r="C12" s="132"/>
      <c r="D12" s="132" t="s">
        <v>342</v>
      </c>
      <c r="E12" s="132" t="s">
        <v>343</v>
      </c>
      <c r="F12" s="132" t="s">
        <v>344</v>
      </c>
      <c r="G12" s="133">
        <v>45938</v>
      </c>
      <c r="H12" s="133">
        <v>45941</v>
      </c>
      <c r="I12" s="132">
        <v>11000</v>
      </c>
      <c r="J12" s="133">
        <v>45965</v>
      </c>
      <c r="K12" s="132" t="s">
        <v>345</v>
      </c>
      <c r="L12" s="132" t="s">
        <v>346</v>
      </c>
      <c r="M12" s="132" t="s">
        <v>347</v>
      </c>
      <c r="N12" s="133">
        <v>45938</v>
      </c>
      <c r="O12" s="133">
        <v>45938</v>
      </c>
      <c r="P12" s="132" t="s">
        <v>353</v>
      </c>
      <c r="Q12" s="132" t="s">
        <v>104</v>
      </c>
      <c r="R12" s="132" t="s">
        <v>105</v>
      </c>
      <c r="S12" s="132" t="s">
        <v>337</v>
      </c>
      <c r="T12" s="132" t="s">
        <v>338</v>
      </c>
      <c r="U12" s="132" t="s">
        <v>354</v>
      </c>
      <c r="V12" s="132" t="s">
        <v>355</v>
      </c>
      <c r="W12" s="132" t="s">
        <v>356</v>
      </c>
    </row>
    <row r="13" spans="1:23" ht="14.4">
      <c r="A13" s="132">
        <v>312</v>
      </c>
      <c r="B13" s="132"/>
      <c r="C13" s="132"/>
      <c r="D13" s="132" t="s">
        <v>342</v>
      </c>
      <c r="E13" s="132" t="s">
        <v>343</v>
      </c>
      <c r="F13" s="132" t="s">
        <v>344</v>
      </c>
      <c r="G13" s="133">
        <v>45938</v>
      </c>
      <c r="H13" s="133">
        <v>45941</v>
      </c>
      <c r="I13" s="132">
        <v>11000</v>
      </c>
      <c r="J13" s="133">
        <v>45965</v>
      </c>
      <c r="K13" s="132" t="s">
        <v>345</v>
      </c>
      <c r="L13" s="132" t="s">
        <v>346</v>
      </c>
      <c r="M13" s="132" t="s">
        <v>347</v>
      </c>
      <c r="N13" s="133">
        <v>45938</v>
      </c>
      <c r="O13" s="133">
        <v>45938</v>
      </c>
      <c r="P13" s="132" t="s">
        <v>353</v>
      </c>
      <c r="Q13" s="132" t="s">
        <v>104</v>
      </c>
      <c r="R13" s="132" t="s">
        <v>105</v>
      </c>
      <c r="S13" s="132" t="s">
        <v>337</v>
      </c>
      <c r="T13" s="132" t="s">
        <v>338</v>
      </c>
      <c r="U13" s="132" t="s">
        <v>354</v>
      </c>
      <c r="V13" s="132" t="s">
        <v>355</v>
      </c>
      <c r="W13" s="132" t="s">
        <v>356</v>
      </c>
    </row>
    <row r="14" spans="1:23" ht="14.4">
      <c r="A14" s="132">
        <v>313</v>
      </c>
      <c r="B14" s="132"/>
      <c r="C14" s="132"/>
      <c r="D14" s="132" t="s">
        <v>342</v>
      </c>
      <c r="E14" s="132" t="s">
        <v>343</v>
      </c>
      <c r="F14" s="132" t="s">
        <v>344</v>
      </c>
      <c r="G14" s="133">
        <v>45938</v>
      </c>
      <c r="H14" s="133">
        <v>45941</v>
      </c>
      <c r="I14" s="132">
        <v>11000</v>
      </c>
      <c r="J14" s="133">
        <v>45965</v>
      </c>
      <c r="K14" s="132" t="s">
        <v>345</v>
      </c>
      <c r="L14" s="132" t="s">
        <v>346</v>
      </c>
      <c r="M14" s="132" t="s">
        <v>347</v>
      </c>
      <c r="N14" s="133">
        <v>45938</v>
      </c>
      <c r="O14" s="133">
        <v>45938</v>
      </c>
      <c r="P14" s="132" t="s">
        <v>353</v>
      </c>
      <c r="Q14" s="132" t="s">
        <v>104</v>
      </c>
      <c r="R14" s="132" t="s">
        <v>105</v>
      </c>
      <c r="S14" s="132" t="s">
        <v>337</v>
      </c>
      <c r="T14" s="132" t="s">
        <v>338</v>
      </c>
      <c r="U14" s="132" t="s">
        <v>354</v>
      </c>
      <c r="V14" s="132" t="s">
        <v>355</v>
      </c>
      <c r="W14" s="132" t="s">
        <v>356</v>
      </c>
    </row>
    <row r="15" spans="1:23" ht="14.4">
      <c r="A15" s="132" t="s">
        <v>357</v>
      </c>
      <c r="B15" s="132"/>
      <c r="C15" s="132"/>
      <c r="D15" s="132" t="s">
        <v>342</v>
      </c>
      <c r="E15" s="132" t="s">
        <v>343</v>
      </c>
      <c r="F15" s="132" t="s">
        <v>344</v>
      </c>
      <c r="G15" s="133">
        <v>45938</v>
      </c>
      <c r="H15" s="133">
        <v>45941</v>
      </c>
      <c r="I15" s="132">
        <v>11000</v>
      </c>
      <c r="J15" s="133">
        <v>45965</v>
      </c>
      <c r="K15" s="132" t="s">
        <v>345</v>
      </c>
      <c r="L15" s="132" t="s">
        <v>346</v>
      </c>
      <c r="M15" s="132" t="s">
        <v>347</v>
      </c>
      <c r="N15" s="133">
        <v>45938</v>
      </c>
      <c r="O15" s="133">
        <v>45938</v>
      </c>
      <c r="P15" s="132" t="s">
        <v>353</v>
      </c>
      <c r="Q15" s="132" t="s">
        <v>104</v>
      </c>
      <c r="R15" s="132" t="s">
        <v>105</v>
      </c>
      <c r="S15" s="132" t="s">
        <v>337</v>
      </c>
      <c r="T15" s="132" t="s">
        <v>338</v>
      </c>
      <c r="U15" s="132" t="s">
        <v>354</v>
      </c>
      <c r="V15" s="132" t="s">
        <v>355</v>
      </c>
      <c r="W15" s="132" t="s">
        <v>356</v>
      </c>
    </row>
    <row r="16" spans="1:23" ht="14.4">
      <c r="A16" s="132">
        <v>301</v>
      </c>
      <c r="B16" s="132"/>
      <c r="C16" s="132"/>
      <c r="D16" s="132" t="s">
        <v>342</v>
      </c>
      <c r="E16" s="132" t="s">
        <v>343</v>
      </c>
      <c r="F16" s="132" t="s">
        <v>344</v>
      </c>
      <c r="G16" s="133">
        <v>45938</v>
      </c>
      <c r="H16" s="133">
        <v>45938</v>
      </c>
      <c r="I16" s="132">
        <v>11000</v>
      </c>
      <c r="J16" s="133">
        <v>46066</v>
      </c>
      <c r="K16" s="132" t="s">
        <v>345</v>
      </c>
      <c r="L16" s="132"/>
      <c r="M16" s="132" t="s">
        <v>358</v>
      </c>
      <c r="N16" s="133">
        <v>45938</v>
      </c>
      <c r="O16" s="133">
        <v>45938</v>
      </c>
      <c r="P16" s="132" t="s">
        <v>359</v>
      </c>
      <c r="Q16" s="132" t="s">
        <v>359</v>
      </c>
      <c r="R16" s="132" t="s">
        <v>359</v>
      </c>
      <c r="S16" s="132"/>
      <c r="T16" s="132" t="s">
        <v>338</v>
      </c>
      <c r="U16" s="132"/>
      <c r="V16" s="132"/>
      <c r="W16" s="132"/>
    </row>
  </sheetData>
  <phoneticPr fontId="6"/>
  <conditionalFormatting sqref="J2:W2">
    <cfRule type="cellIs" dxfId="81" priority="1" stopIfTrue="1" operator="equal">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入力フォーム</vt:lpstr>
      <vt:lpstr>工事番号一覧</vt:lpstr>
      <vt:lpstr>請求書提出依頼書</vt:lpstr>
      <vt:lpstr>依頼履歴</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2026-02-09T07:45:50Z</cp:lastPrinted>
  <dcterms:created xsi:type="dcterms:W3CDTF">2016-09-30T02:05:14Z</dcterms:created>
  <dcterms:modified xsi:type="dcterms:W3CDTF">2026-02-15T22:39:40Z</dcterms:modified>
</cp:coreProperties>
</file>